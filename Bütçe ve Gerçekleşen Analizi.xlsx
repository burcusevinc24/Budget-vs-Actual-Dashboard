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urcusevinc/Downloads/"/>
    </mc:Choice>
  </mc:AlternateContent>
  <xr:revisionPtr revIDLastSave="0" documentId="13_ncr:1_{B7BD74AE-D761-634F-A002-7B18A3CCBF66}" xr6:coauthVersionLast="47" xr6:coauthVersionMax="47" xr10:uidLastSave="{00000000-0000-0000-0000-000000000000}"/>
  <bookViews>
    <workbookView xWindow="0" yWindow="0" windowWidth="28800" windowHeight="16840" xr2:uid="{00000000-000D-0000-FFFF-FFFF00000000}"/>
  </bookViews>
  <sheets>
    <sheet name="Dashboard" sheetId="6" r:id="rId1"/>
    <sheet name="Budget" sheetId="3" r:id="rId2"/>
    <sheet name="Actual" sheetId="4" r:id="rId3"/>
  </sheets>
  <definedNames>
    <definedName name="_xlnm._FilterDatabase" localSheetId="0" hidden="1">Dashboard!$B$5:$C$5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9" roundtripDataSignature="AMtx7miDTJtFOIziZcKIws818xk1Gf0JMQ=="/>
    </ext>
  </extLst>
</workbook>
</file>

<file path=xl/calcChain.xml><?xml version="1.0" encoding="utf-8"?>
<calcChain xmlns="http://schemas.openxmlformats.org/spreadsheetml/2006/main">
  <c r="C6" i="4" l="1"/>
  <c r="C7" i="4"/>
  <c r="C8" i="4"/>
  <c r="C9" i="4"/>
  <c r="C10" i="4"/>
  <c r="C5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G18" i="3"/>
  <c r="N13" i="3"/>
  <c r="N18" i="3" s="1"/>
  <c r="M13" i="3"/>
  <c r="M18" i="3" s="1"/>
  <c r="L13" i="3"/>
  <c r="L18" i="3" s="1"/>
  <c r="K13" i="3"/>
  <c r="K18" i="3" s="1"/>
  <c r="J13" i="3"/>
  <c r="J18" i="3" s="1"/>
  <c r="I13" i="3"/>
  <c r="I18" i="3" s="1"/>
  <c r="H13" i="3"/>
  <c r="H18" i="3" s="1"/>
  <c r="G13" i="3"/>
  <c r="F13" i="3"/>
  <c r="F18" i="3" s="1"/>
  <c r="E13" i="3"/>
  <c r="D13" i="3"/>
  <c r="D18" i="3" s="1"/>
  <c r="C13" i="3"/>
  <c r="C18" i="3" s="1"/>
  <c r="C9" i="3"/>
  <c r="C20" i="3" s="1"/>
  <c r="C21" i="3" s="1"/>
  <c r="E8" i="3"/>
  <c r="F8" i="3" s="1"/>
  <c r="D8" i="3"/>
  <c r="D7" i="3"/>
  <c r="D9" i="3" s="1"/>
  <c r="C15" i="6" l="1"/>
  <c r="D17" i="6"/>
  <c r="D15" i="6"/>
  <c r="D19" i="6"/>
  <c r="D8" i="6"/>
  <c r="D16" i="6"/>
  <c r="C8" i="6"/>
  <c r="D9" i="6"/>
  <c r="C17" i="6"/>
  <c r="C18" i="6"/>
  <c r="D10" i="6"/>
  <c r="C16" i="6"/>
  <c r="C10" i="6"/>
  <c r="C9" i="6"/>
  <c r="C14" i="6"/>
  <c r="D14" i="6"/>
  <c r="D18" i="6"/>
  <c r="C19" i="6"/>
  <c r="F9" i="3"/>
  <c r="F20" i="3" s="1"/>
  <c r="G8" i="3"/>
  <c r="D20" i="3"/>
  <c r="D21" i="3" s="1"/>
  <c r="E18" i="3"/>
  <c r="E9" i="3"/>
  <c r="E20" i="3" s="1"/>
  <c r="E21" i="3" s="1"/>
  <c r="F14" i="6" l="1"/>
  <c r="G14" i="6"/>
  <c r="G16" i="6"/>
  <c r="F16" i="6"/>
  <c r="G8" i="6"/>
  <c r="F8" i="6"/>
  <c r="G19" i="6"/>
  <c r="F19" i="6"/>
  <c r="G15" i="6"/>
  <c r="F15" i="6"/>
  <c r="G17" i="6"/>
  <c r="F17" i="6"/>
  <c r="G10" i="6"/>
  <c r="F10" i="6"/>
  <c r="G18" i="6"/>
  <c r="F18" i="6"/>
  <c r="G9" i="6"/>
  <c r="F9" i="6"/>
  <c r="C20" i="6"/>
  <c r="C11" i="6"/>
  <c r="D11" i="6"/>
  <c r="D20" i="6"/>
  <c r="G9" i="3"/>
  <c r="G20" i="3" s="1"/>
  <c r="G21" i="3" s="1"/>
  <c r="H8" i="3"/>
  <c r="F21" i="3"/>
  <c r="F20" i="6" l="1"/>
  <c r="G20" i="6"/>
  <c r="G11" i="6"/>
  <c r="F11" i="6"/>
  <c r="C22" i="6"/>
  <c r="D22" i="6"/>
  <c r="I8" i="3"/>
  <c r="H9" i="3"/>
  <c r="H20" i="3" s="1"/>
  <c r="H21" i="3" s="1"/>
  <c r="G22" i="6" l="1"/>
  <c r="F22" i="6"/>
  <c r="J8" i="3"/>
  <c r="I9" i="3"/>
  <c r="I20" i="3" s="1"/>
  <c r="I21" i="3" s="1"/>
  <c r="K8" i="3" l="1"/>
  <c r="J9" i="3"/>
  <c r="J20" i="3" s="1"/>
  <c r="J21" i="3" s="1"/>
  <c r="L8" i="3" l="1"/>
  <c r="K9" i="3"/>
  <c r="K20" i="3" s="1"/>
  <c r="K21" i="3" s="1"/>
  <c r="L9" i="3" l="1"/>
  <c r="L20" i="3" s="1"/>
  <c r="L21" i="3" s="1"/>
  <c r="M8" i="3"/>
  <c r="N8" i="3" l="1"/>
  <c r="N9" i="3" s="1"/>
  <c r="N20" i="3" s="1"/>
  <c r="M9" i="3"/>
  <c r="M20" i="3" s="1"/>
  <c r="M21" i="3" s="1"/>
  <c r="N21" i="3" l="1"/>
</calcChain>
</file>

<file path=xl/sharedStrings.xml><?xml version="1.0" encoding="utf-8"?>
<sst xmlns="http://schemas.openxmlformats.org/spreadsheetml/2006/main" count="178" uniqueCount="64">
  <si>
    <t>Figures in USD</t>
  </si>
  <si>
    <t>Income:</t>
  </si>
  <si>
    <t>Base Salary</t>
  </si>
  <si>
    <t>Bonus</t>
  </si>
  <si>
    <t>Side Hustle</t>
  </si>
  <si>
    <t>Total Income</t>
  </si>
  <si>
    <t>Expenses:</t>
  </si>
  <si>
    <t>Rent</t>
  </si>
  <si>
    <t>Utilities</t>
  </si>
  <si>
    <t>Transport</t>
  </si>
  <si>
    <t>Groceries</t>
  </si>
  <si>
    <t>Leisure</t>
  </si>
  <si>
    <t>Other</t>
  </si>
  <si>
    <t>Total Expenses</t>
  </si>
  <si>
    <t>Savings</t>
  </si>
  <si>
    <t>Cumulative Savings</t>
  </si>
  <si>
    <t>Date</t>
  </si>
  <si>
    <t>Month</t>
  </si>
  <si>
    <t>Category</t>
  </si>
  <si>
    <t>Description</t>
  </si>
  <si>
    <t>Amount</t>
  </si>
  <si>
    <t>Categories</t>
  </si>
  <si>
    <t>Apartment split with friend</t>
  </si>
  <si>
    <t>Higher month than usual</t>
  </si>
  <si>
    <t>Metro card</t>
  </si>
  <si>
    <t>Walmart shopping</t>
  </si>
  <si>
    <t>Hotel in NYC</t>
  </si>
  <si>
    <t>Dinner with friends (invited my partner)</t>
  </si>
  <si>
    <t>Drake concert</t>
  </si>
  <si>
    <t>Bought new clothes</t>
  </si>
  <si>
    <t>Commissions from each sale</t>
  </si>
  <si>
    <t>9-5 job</t>
  </si>
  <si>
    <t>Startup idea $</t>
  </si>
  <si>
    <t>Average month</t>
  </si>
  <si>
    <t>Drinks out</t>
  </si>
  <si>
    <t>Date night</t>
  </si>
  <si>
    <t>Tennis x2</t>
  </si>
  <si>
    <t>Snacks</t>
  </si>
  <si>
    <t>Lunch out x4</t>
  </si>
  <si>
    <t>Dinner with friends x2</t>
  </si>
  <si>
    <t>Exercise</t>
  </si>
  <si>
    <t>Travel back home</t>
  </si>
  <si>
    <t>Disco &amp; drinks</t>
  </si>
  <si>
    <t>NBA game</t>
  </si>
  <si>
    <t>Budget</t>
  </si>
  <si>
    <t>Actual</t>
  </si>
  <si>
    <t>Current Month-&gt;</t>
  </si>
  <si>
    <t>Var.Abs</t>
  </si>
  <si>
    <t>Var.%</t>
  </si>
  <si>
    <t>Actual Income &amp; Expenses 2026</t>
  </si>
  <si>
    <t xml:space="preserve">   </t>
  </si>
  <si>
    <t>Budgeted Income &amp; Expenses 2026</t>
  </si>
  <si>
    <t>Ocak</t>
  </si>
  <si>
    <t>Şubat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</si>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</sst>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(#,##0\);\-\-_)"/>
  </numFmts>
  <fonts count="13" x14ac:knownFonts="1">
    <font>
      <sz val="12"/>
      <color theme="1"/>
      <name val="Calibri"/>
      <scheme val="minor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6"/>
      <color rgb="FF293D68"/>
      <name val="Calibri"/>
      <family val="2"/>
    </font>
    <font>
      <b/>
      <sz val="12"/>
      <color theme="1"/>
      <name val="Calibri"/>
      <family val="2"/>
    </font>
    <font>
      <sz val="12"/>
      <color rgb="FF0432FF"/>
      <name val="Calibri"/>
      <family val="2"/>
    </font>
    <font>
      <i/>
      <sz val="12"/>
      <color theme="0"/>
      <name val="Calibri"/>
      <family val="2"/>
    </font>
    <font>
      <b/>
      <sz val="12"/>
      <color theme="0"/>
      <name val="Calibri"/>
      <family val="2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0"/>
      <name val="Calibri (Gövde)"/>
      <charset val="162"/>
    </font>
    <font>
      <sz val="12"/>
      <color theme="1" tint="4.9989318521683403E-2"/>
      <name val="Calibri (Gövde)"/>
      <charset val="162"/>
    </font>
    <font>
      <sz val="12"/>
      <color theme="1" tint="4.9989318521683403E-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93D68"/>
        <bgColor rgb="FF293D68"/>
      </patternFill>
    </fill>
    <fill>
      <patternFill patternType="solid">
        <fgColor rgb="FFFFFF99"/>
        <bgColor rgb="FFFFFF9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rgb="FF293D68"/>
      </patternFill>
    </fill>
    <fill>
      <patternFill patternType="solid">
        <fgColor rgb="FF00206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0" applyFont="1"/>
    <xf numFmtId="0" fontId="3" fillId="0" borderId="2" xfId="0" applyFont="1" applyBorder="1"/>
    <xf numFmtId="0" fontId="1" fillId="0" borderId="2" xfId="0" applyFont="1" applyBorder="1"/>
    <xf numFmtId="0" fontId="1" fillId="0" borderId="0" xfId="0" applyFont="1" applyAlignment="1">
      <alignment horizontal="left"/>
    </xf>
    <xf numFmtId="164" fontId="1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left"/>
    </xf>
    <xf numFmtId="0" fontId="6" fillId="2" borderId="1" xfId="0" applyFont="1" applyFill="1" applyBorder="1"/>
    <xf numFmtId="17" fontId="7" fillId="2" borderId="1" xfId="0" applyNumberFormat="1" applyFont="1" applyFill="1" applyBorder="1"/>
    <xf numFmtId="17" fontId="1" fillId="0" borderId="0" xfId="0" applyNumberFormat="1" applyFont="1"/>
    <xf numFmtId="164" fontId="5" fillId="0" borderId="0" xfId="0" applyNumberFormat="1" applyFont="1"/>
    <xf numFmtId="0" fontId="4" fillId="0" borderId="3" xfId="0" applyFont="1" applyBorder="1" applyAlignment="1">
      <alignment horizontal="left"/>
    </xf>
    <xf numFmtId="164" fontId="4" fillId="0" borderId="3" xfId="0" applyNumberFormat="1" applyFont="1" applyBorder="1"/>
    <xf numFmtId="0" fontId="4" fillId="3" borderId="4" xfId="0" applyFont="1" applyFill="1" applyBorder="1" applyAlignment="1">
      <alignment horizontal="left"/>
    </xf>
    <xf numFmtId="164" fontId="4" fillId="3" borderId="4" xfId="0" applyNumberFormat="1" applyFont="1" applyFill="1" applyBorder="1"/>
    <xf numFmtId="0" fontId="4" fillId="3" borderId="5" xfId="0" applyFont="1" applyFill="1" applyBorder="1"/>
    <xf numFmtId="164" fontId="4" fillId="3" borderId="5" xfId="0" applyNumberFormat="1" applyFont="1" applyFill="1" applyBorder="1"/>
    <xf numFmtId="0" fontId="7" fillId="2" borderId="1" xfId="0" applyFont="1" applyFill="1" applyBorder="1"/>
    <xf numFmtId="16" fontId="1" fillId="0" borderId="0" xfId="0" applyNumberFormat="1" applyFont="1" applyAlignment="1">
      <alignment horizontal="left"/>
    </xf>
    <xf numFmtId="0" fontId="0" fillId="4" borderId="6" xfId="0" applyFill="1" applyBorder="1"/>
    <xf numFmtId="0" fontId="2" fillId="5" borderId="0" xfId="0" applyFont="1" applyFill="1"/>
    <xf numFmtId="0" fontId="0" fillId="5" borderId="0" xfId="0" applyFill="1"/>
    <xf numFmtId="0" fontId="1" fillId="5" borderId="0" xfId="0" applyFont="1" applyFill="1" applyAlignment="1">
      <alignment horizontal="left"/>
    </xf>
    <xf numFmtId="0" fontId="4" fillId="5" borderId="3" xfId="0" applyFont="1" applyFill="1" applyBorder="1" applyAlignment="1">
      <alignment horizontal="left"/>
    </xf>
    <xf numFmtId="0" fontId="4" fillId="5" borderId="0" xfId="0" applyFont="1" applyFill="1" applyAlignment="1">
      <alignment horizontal="left"/>
    </xf>
    <xf numFmtId="0" fontId="6" fillId="6" borderId="1" xfId="0" applyFont="1" applyFill="1" applyBorder="1"/>
    <xf numFmtId="0" fontId="9" fillId="7" borderId="0" xfId="0" applyFont="1" applyFill="1"/>
    <xf numFmtId="0" fontId="10" fillId="7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/>
    </xf>
    <xf numFmtId="1" fontId="0" fillId="5" borderId="0" xfId="0" applyNumberFormat="1" applyFill="1"/>
    <xf numFmtId="0" fontId="0" fillId="5" borderId="7" xfId="0" applyFill="1" applyBorder="1"/>
    <xf numFmtId="1" fontId="2" fillId="5" borderId="7" xfId="0" applyNumberFormat="1" applyFont="1" applyFill="1" applyBorder="1"/>
    <xf numFmtId="0" fontId="11" fillId="4" borderId="8" xfId="0" applyFont="1" applyFill="1" applyBorder="1"/>
    <xf numFmtId="1" fontId="12" fillId="4" borderId="8" xfId="0" applyNumberFormat="1" applyFont="1" applyFill="1" applyBorder="1"/>
    <xf numFmtId="9" fontId="0" fillId="5" borderId="0" xfId="1" applyFont="1" applyFill="1"/>
    <xf numFmtId="9" fontId="0" fillId="5" borderId="7" xfId="1" applyFont="1" applyFill="1" applyBorder="1"/>
    <xf numFmtId="9" fontId="0" fillId="4" borderId="8" xfId="1" applyFont="1" applyFill="1" applyBorder="1"/>
    <xf numFmtId="1" fontId="0" fillId="4" borderId="8" xfId="0" applyNumberFormat="1" applyFill="1" applyBorder="1"/>
    <xf numFmtId="0" fontId="9" fillId="5" borderId="0" xfId="0" applyFont="1" applyFill="1"/>
  </cellXfs>
  <cellStyles count="2">
    <cellStyle name="Normal" xfId="0" builtinId="0"/>
    <cellStyle name="Yüzde" xfId="1" builtinId="5"/>
  </cellStyles>
  <dxfs count="3">
    <dxf>
      <font>
        <color theme="9" tint="-0.24994659260841701"/>
      </font>
    </dxf>
    <dxf>
      <font>
        <color theme="9" tint="-0.24994659260841701"/>
      </font>
    </dxf>
    <dxf>
      <font>
        <color rgb="FFFF0000"/>
      </font>
    </dxf>
  </dxfs>
  <tableStyles count="0" defaultTableStyle="TableStyleMedium2" defaultPivotStyle="PivotStyleLight16"/>
  <colors>
    <mruColors>
      <color rgb="FF0576DD"/>
      <color rgb="FF3BA1DD"/>
      <color rgb="FF409EDE"/>
      <color rgb="FF7081C3"/>
      <color rgb="FF221DC3"/>
      <color rgb="FF2063C3"/>
      <color rgb="FF7A8BCF"/>
      <color rgb="FF4966BA"/>
      <color rgb="FFE8E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Budget</c:v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Dashboard!$B$8:$B$10</c:f>
              <c:strCache>
                <c:ptCount val="3"/>
                <c:pt idx="0">
                  <c:v>Base Salary</c:v>
                </c:pt>
                <c:pt idx="1">
                  <c:v>Bonus</c:v>
                </c:pt>
                <c:pt idx="2">
                  <c:v>Side Hustle</c:v>
                </c:pt>
              </c:strCache>
            </c:strRef>
          </c:cat>
          <c:val>
            <c:numRef>
              <c:f>Dashboard!$C$8:$C$10</c:f>
              <c:numCache>
                <c:formatCode>General</c:formatCode>
                <c:ptCount val="3"/>
                <c:pt idx="0">
                  <c:v>3000</c:v>
                </c:pt>
                <c:pt idx="1">
                  <c:v>500</c:v>
                </c:pt>
                <c:pt idx="2" formatCode="0">
                  <c:v>285.61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F7-504E-BCC2-33BA86EE2ED2}"/>
            </c:ext>
          </c:extLst>
        </c:ser>
        <c:ser>
          <c:idx val="1"/>
          <c:order val="1"/>
          <c:tx>
            <c:v>Actual</c:v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Dashboard!$B$8:$B$10</c:f>
              <c:strCache>
                <c:ptCount val="3"/>
                <c:pt idx="0">
                  <c:v>Base Salary</c:v>
                </c:pt>
                <c:pt idx="1">
                  <c:v>Bonus</c:v>
                </c:pt>
                <c:pt idx="2">
                  <c:v>Side Hustle</c:v>
                </c:pt>
              </c:strCache>
            </c:strRef>
          </c:cat>
          <c:val>
            <c:numRef>
              <c:f>Dashboard!$D$8:$D$10</c:f>
              <c:numCache>
                <c:formatCode>General</c:formatCode>
                <c:ptCount val="3"/>
                <c:pt idx="0">
                  <c:v>3000</c:v>
                </c:pt>
                <c:pt idx="1">
                  <c:v>708</c:v>
                </c:pt>
                <c:pt idx="2">
                  <c:v>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F7-504E-BCC2-33BA86EE2ED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7"/>
        <c:axId val="282988320"/>
        <c:axId val="282990048"/>
      </c:barChart>
      <c:catAx>
        <c:axId val="282988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82990048"/>
        <c:crosses val="autoZero"/>
        <c:auto val="1"/>
        <c:lblAlgn val="ctr"/>
        <c:lblOffset val="100"/>
        <c:noMultiLvlLbl val="0"/>
      </c:catAx>
      <c:valAx>
        <c:axId val="282990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82988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487338056384515"/>
          <c:y val="0.11940975062513207"/>
          <c:w val="0.82028427542379545"/>
          <c:h val="0.50288726145885754"/>
        </c:manualLayout>
      </c:layout>
      <c:barChart>
        <c:barDir val="col"/>
        <c:grouping val="clustered"/>
        <c:varyColors val="0"/>
        <c:ser>
          <c:idx val="0"/>
          <c:order val="0"/>
          <c:tx>
            <c:v>Budget</c:v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Dashboard!$B$14:$B$19</c:f>
              <c:strCache>
                <c:ptCount val="6"/>
                <c:pt idx="0">
                  <c:v>Rent</c:v>
                </c:pt>
                <c:pt idx="1">
                  <c:v>Utilities</c:v>
                </c:pt>
                <c:pt idx="2">
                  <c:v>Transport</c:v>
                </c:pt>
                <c:pt idx="3">
                  <c:v>Groceries</c:v>
                </c:pt>
                <c:pt idx="4">
                  <c:v>Leisure</c:v>
                </c:pt>
                <c:pt idx="5">
                  <c:v>Other</c:v>
                </c:pt>
              </c:strCache>
            </c:strRef>
          </c:cat>
          <c:val>
            <c:numRef>
              <c:f>Dashboard!$C$14:$C$19</c:f>
              <c:numCache>
                <c:formatCode>General</c:formatCode>
                <c:ptCount val="6"/>
                <c:pt idx="0">
                  <c:v>1120</c:v>
                </c:pt>
                <c:pt idx="1">
                  <c:v>112</c:v>
                </c:pt>
                <c:pt idx="2">
                  <c:v>55</c:v>
                </c:pt>
                <c:pt idx="3">
                  <c:v>550</c:v>
                </c:pt>
                <c:pt idx="4">
                  <c:v>400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A4-B74F-AFD6-03AEC3C705B5}"/>
            </c:ext>
          </c:extLst>
        </c:ser>
        <c:ser>
          <c:idx val="1"/>
          <c:order val="1"/>
          <c:tx>
            <c:v>Actual</c:v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Dashboard!$B$14:$B$19</c:f>
              <c:strCache>
                <c:ptCount val="6"/>
                <c:pt idx="0">
                  <c:v>Rent</c:v>
                </c:pt>
                <c:pt idx="1">
                  <c:v>Utilities</c:v>
                </c:pt>
                <c:pt idx="2">
                  <c:v>Transport</c:v>
                </c:pt>
                <c:pt idx="3">
                  <c:v>Groceries</c:v>
                </c:pt>
                <c:pt idx="4">
                  <c:v>Leisure</c:v>
                </c:pt>
                <c:pt idx="5">
                  <c:v>Other</c:v>
                </c:pt>
              </c:strCache>
            </c:strRef>
          </c:cat>
          <c:val>
            <c:numRef>
              <c:f>Dashboard!$D$14:$D$19</c:f>
              <c:numCache>
                <c:formatCode>General</c:formatCode>
                <c:ptCount val="6"/>
                <c:pt idx="0">
                  <c:v>1120</c:v>
                </c:pt>
                <c:pt idx="1">
                  <c:v>155</c:v>
                </c:pt>
                <c:pt idx="2">
                  <c:v>55</c:v>
                </c:pt>
                <c:pt idx="3">
                  <c:v>449</c:v>
                </c:pt>
                <c:pt idx="4">
                  <c:v>646</c:v>
                </c:pt>
                <c:pt idx="5">
                  <c:v>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A4-B74F-AFD6-03AEC3C705B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379448448"/>
        <c:axId val="379239920"/>
      </c:barChart>
      <c:catAx>
        <c:axId val="379448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379239920"/>
        <c:crosses val="autoZero"/>
        <c:auto val="1"/>
        <c:lblAlgn val="ctr"/>
        <c:lblOffset val="100"/>
        <c:noMultiLvlLbl val="0"/>
      </c:catAx>
      <c:valAx>
        <c:axId val="379239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379448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v>Actual</c:v>
          </c:tx>
          <c:spPr>
            <a:ln>
              <a:solidFill>
                <a:schemeClr val="lt1">
                  <a:shade val="50000"/>
                  <a:alpha val="26000"/>
                </a:schemeClr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>
                    <a:shade val="50000"/>
                    <a:alpha val="26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023-D648-B5A7-CBBF903734C7}"/>
              </c:ext>
            </c:extLst>
          </c:dPt>
          <c:dPt>
            <c:idx val="1"/>
            <c:bubble3D val="0"/>
            <c:spPr>
              <a:solidFill>
                <a:srgbClr val="0576DD">
                  <a:alpha val="65098"/>
                </a:srgbClr>
              </a:solidFill>
              <a:ln w="19050">
                <a:solidFill>
                  <a:schemeClr val="lt1">
                    <a:shade val="50000"/>
                    <a:alpha val="26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023-D648-B5A7-CBBF903734C7}"/>
              </c:ext>
            </c:extLst>
          </c:dPt>
          <c:dPt>
            <c:idx val="2"/>
            <c:bubble3D val="0"/>
            <c:spPr>
              <a:solidFill>
                <a:srgbClr val="221DC3"/>
              </a:solidFill>
              <a:ln w="19050">
                <a:solidFill>
                  <a:schemeClr val="lt1">
                    <a:shade val="50000"/>
                    <a:alpha val="26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A023-D648-B5A7-CBBF903734C7}"/>
              </c:ext>
            </c:extLst>
          </c:dPt>
          <c:dPt>
            <c:idx val="3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solidFill>
                  <a:schemeClr val="lt1">
                    <a:shade val="50000"/>
                    <a:alpha val="26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023-D648-B5A7-CBBF903734C7}"/>
              </c:ext>
            </c:extLst>
          </c:dPt>
          <c:dPt>
            <c:idx val="4"/>
            <c:bubble3D val="0"/>
            <c:spPr>
              <a:solidFill>
                <a:srgbClr val="002060">
                  <a:alpha val="78000"/>
                </a:srgbClr>
              </a:solidFill>
              <a:ln w="19050">
                <a:solidFill>
                  <a:schemeClr val="lt1">
                    <a:shade val="50000"/>
                    <a:alpha val="26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023-D648-B5A7-CBBF903734C7}"/>
              </c:ext>
            </c:extLst>
          </c:dPt>
          <c:dPt>
            <c:idx val="5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>
                    <a:shade val="50000"/>
                    <a:alpha val="26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A023-D648-B5A7-CBBF903734C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1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Dashboard!$B$14:$B$19</c:f>
              <c:strCache>
                <c:ptCount val="6"/>
                <c:pt idx="0">
                  <c:v>Rent</c:v>
                </c:pt>
                <c:pt idx="1">
                  <c:v>Utilities</c:v>
                </c:pt>
                <c:pt idx="2">
                  <c:v>Transport</c:v>
                </c:pt>
                <c:pt idx="3">
                  <c:v>Groceries</c:v>
                </c:pt>
                <c:pt idx="4">
                  <c:v>Leisure</c:v>
                </c:pt>
                <c:pt idx="5">
                  <c:v>Other</c:v>
                </c:pt>
              </c:strCache>
            </c:strRef>
          </c:cat>
          <c:val>
            <c:numRef>
              <c:f>Dashboard!$D$14:$D$19</c:f>
              <c:numCache>
                <c:formatCode>General</c:formatCode>
                <c:ptCount val="6"/>
                <c:pt idx="0">
                  <c:v>1120</c:v>
                </c:pt>
                <c:pt idx="1">
                  <c:v>155</c:v>
                </c:pt>
                <c:pt idx="2">
                  <c:v>55</c:v>
                </c:pt>
                <c:pt idx="3">
                  <c:v>449</c:v>
                </c:pt>
                <c:pt idx="4">
                  <c:v>646</c:v>
                </c:pt>
                <c:pt idx="5">
                  <c:v>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23-D648-B5A7-CBBF903734C7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8132477886569796E-2"/>
          <c:y val="0.74848785551482033"/>
          <c:w val="0.84820418114150908"/>
          <c:h val="0.1907285627527995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357845</xdr:colOff>
      <xdr:row>2</xdr:row>
      <xdr:rowOff>196464</xdr:rowOff>
    </xdr:from>
    <xdr:to>
      <xdr:col>11</xdr:col>
      <xdr:colOff>750773</xdr:colOff>
      <xdr:row>2</xdr:row>
      <xdr:rowOff>196464</xdr:rowOff>
    </xdr:to>
    <xdr:cxnSp macro="">
      <xdr:nvCxnSpPr>
        <xdr:cNvPr id="3" name="Düz Bağlayıcı 2">
          <a:extLst>
            <a:ext uri="{FF2B5EF4-FFF2-40B4-BE49-F238E27FC236}">
              <a16:creationId xmlns:a16="http://schemas.microsoft.com/office/drawing/2014/main" id="{CA67E31F-5E08-9122-C4D7-196DF0581C73}"/>
            </a:ext>
          </a:extLst>
        </xdr:cNvPr>
        <xdr:cNvCxnSpPr/>
      </xdr:nvCxnSpPr>
      <xdr:spPr>
        <a:xfrm flipV="1">
          <a:off x="1185801" y="603425"/>
          <a:ext cx="8672486" cy="0"/>
        </a:xfrm>
        <a:prstGeom prst="line">
          <a:avLst/>
        </a:prstGeom>
        <a:ln>
          <a:solidFill>
            <a:schemeClr val="accent3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547292</xdr:colOff>
      <xdr:row>1</xdr:row>
      <xdr:rowOff>105248</xdr:rowOff>
    </xdr:from>
    <xdr:to>
      <xdr:col>7</xdr:col>
      <xdr:colOff>203480</xdr:colOff>
      <xdr:row>2</xdr:row>
      <xdr:rowOff>189447</xdr:rowOff>
    </xdr:to>
    <xdr:sp macro="" textlink="">
      <xdr:nvSpPr>
        <xdr:cNvPr id="9" name="Metin kutusu 8">
          <a:extLst>
            <a:ext uri="{FF2B5EF4-FFF2-40B4-BE49-F238E27FC236}">
              <a16:creationId xmlns:a16="http://schemas.microsoft.com/office/drawing/2014/main" id="{7C7DE373-12C1-DD35-10FD-A84A16798669}"/>
            </a:ext>
          </a:extLst>
        </xdr:cNvPr>
        <xdr:cNvSpPr txBox="1"/>
      </xdr:nvSpPr>
      <xdr:spPr>
        <a:xfrm>
          <a:off x="1375248" y="308729"/>
          <a:ext cx="4623923" cy="2876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tr-TR" sz="2000">
              <a:solidFill>
                <a:srgbClr val="4966BA"/>
              </a:solidFill>
            </a:rPr>
            <a:t>Budget vs. Actual Dasboard</a:t>
          </a:r>
        </a:p>
      </xdr:txBody>
    </xdr:sp>
    <xdr:clientData/>
  </xdr:twoCellAnchor>
  <xdr:twoCellAnchor>
    <xdr:from>
      <xdr:col>8</xdr:col>
      <xdr:colOff>1</xdr:colOff>
      <xdr:row>6</xdr:row>
      <xdr:rowOff>140402</xdr:rowOff>
    </xdr:from>
    <xdr:to>
      <xdr:col>11</xdr:col>
      <xdr:colOff>371879</xdr:colOff>
      <xdr:row>16</xdr:row>
      <xdr:rowOff>70095</xdr:rowOff>
    </xdr:to>
    <xdr:graphicFrame macro="">
      <xdr:nvGraphicFramePr>
        <xdr:cNvPr id="10" name="Grafik 9">
          <a:extLst>
            <a:ext uri="{FF2B5EF4-FFF2-40B4-BE49-F238E27FC236}">
              <a16:creationId xmlns:a16="http://schemas.microsoft.com/office/drawing/2014/main" id="{E0B18530-CA9C-4630-6218-8012C915D5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52626</xdr:colOff>
      <xdr:row>5</xdr:row>
      <xdr:rowOff>133385</xdr:rowOff>
    </xdr:from>
    <xdr:to>
      <xdr:col>11</xdr:col>
      <xdr:colOff>291189</xdr:colOff>
      <xdr:row>6</xdr:row>
      <xdr:rowOff>133385</xdr:rowOff>
    </xdr:to>
    <xdr:sp macro="" textlink="">
      <xdr:nvSpPr>
        <xdr:cNvPr id="11" name="Metin kutusu 10">
          <a:extLst>
            <a:ext uri="{FF2B5EF4-FFF2-40B4-BE49-F238E27FC236}">
              <a16:creationId xmlns:a16="http://schemas.microsoft.com/office/drawing/2014/main" id="{D642B4CB-1C6E-A143-2E9A-1B1123905D9C}"/>
            </a:ext>
          </a:extLst>
        </xdr:cNvPr>
        <xdr:cNvSpPr txBox="1"/>
      </xdr:nvSpPr>
      <xdr:spPr>
        <a:xfrm>
          <a:off x="6760471" y="1150788"/>
          <a:ext cx="2722431" cy="203481"/>
        </a:xfrm>
        <a:prstGeom prst="rect">
          <a:avLst/>
        </a:prstGeom>
        <a:solidFill>
          <a:srgbClr val="00206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100">
              <a:solidFill>
                <a:schemeClr val="bg1"/>
              </a:solidFill>
            </a:rPr>
            <a:t>Budget vs Actual Income</a:t>
          </a:r>
        </a:p>
      </xdr:txBody>
    </xdr:sp>
    <xdr:clientData/>
  </xdr:twoCellAnchor>
  <xdr:twoCellAnchor>
    <xdr:from>
      <xdr:col>8</xdr:col>
      <xdr:colOff>161382</xdr:colOff>
      <xdr:row>17</xdr:row>
      <xdr:rowOff>56133</xdr:rowOff>
    </xdr:from>
    <xdr:to>
      <xdr:col>12</xdr:col>
      <xdr:colOff>154364</xdr:colOff>
      <xdr:row>27</xdr:row>
      <xdr:rowOff>189447</xdr:rowOff>
    </xdr:to>
    <xdr:graphicFrame macro="">
      <xdr:nvGraphicFramePr>
        <xdr:cNvPr id="12" name="Grafik 11">
          <a:extLst>
            <a:ext uri="{FF2B5EF4-FFF2-40B4-BE49-F238E27FC236}">
              <a16:creationId xmlns:a16="http://schemas.microsoft.com/office/drawing/2014/main" id="{9E08E897-FAC7-2EBA-341B-86F9778146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301712</xdr:colOff>
      <xdr:row>16</xdr:row>
      <xdr:rowOff>49116</xdr:rowOff>
    </xdr:from>
    <xdr:to>
      <xdr:col>11</xdr:col>
      <xdr:colOff>652541</xdr:colOff>
      <xdr:row>17</xdr:row>
      <xdr:rowOff>56134</xdr:rowOff>
    </xdr:to>
    <xdr:sp macro="" textlink="">
      <xdr:nvSpPr>
        <xdr:cNvPr id="13" name="Metin kutusu 12">
          <a:extLst>
            <a:ext uri="{FF2B5EF4-FFF2-40B4-BE49-F238E27FC236}">
              <a16:creationId xmlns:a16="http://schemas.microsoft.com/office/drawing/2014/main" id="{17C278FE-6516-3B77-208D-FFAF4D0D8B5D}"/>
            </a:ext>
          </a:extLst>
        </xdr:cNvPr>
        <xdr:cNvSpPr txBox="1"/>
      </xdr:nvSpPr>
      <xdr:spPr>
        <a:xfrm>
          <a:off x="7009557" y="3304807"/>
          <a:ext cx="2834697" cy="210498"/>
        </a:xfrm>
        <a:prstGeom prst="rect">
          <a:avLst/>
        </a:prstGeom>
        <a:solidFill>
          <a:srgbClr val="00206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100">
              <a:solidFill>
                <a:schemeClr val="bg1"/>
              </a:solidFill>
            </a:rPr>
            <a:t>Budget vs Actual Expenses</a:t>
          </a:r>
        </a:p>
      </xdr:txBody>
    </xdr:sp>
    <xdr:clientData/>
  </xdr:twoCellAnchor>
  <xdr:twoCellAnchor>
    <xdr:from>
      <xdr:col>11</xdr:col>
      <xdr:colOff>764807</xdr:colOff>
      <xdr:row>5</xdr:row>
      <xdr:rowOff>119283</xdr:rowOff>
    </xdr:from>
    <xdr:to>
      <xdr:col>15</xdr:col>
      <xdr:colOff>175415</xdr:colOff>
      <xdr:row>6</xdr:row>
      <xdr:rowOff>119283</xdr:rowOff>
    </xdr:to>
    <xdr:sp macro="" textlink="">
      <xdr:nvSpPr>
        <xdr:cNvPr id="14" name="Metin kutusu 13">
          <a:extLst>
            <a:ext uri="{FF2B5EF4-FFF2-40B4-BE49-F238E27FC236}">
              <a16:creationId xmlns:a16="http://schemas.microsoft.com/office/drawing/2014/main" id="{ADCEC286-DC12-644F-A478-A70243023DF6}"/>
            </a:ext>
          </a:extLst>
        </xdr:cNvPr>
        <xdr:cNvSpPr txBox="1"/>
      </xdr:nvSpPr>
      <xdr:spPr>
        <a:xfrm>
          <a:off x="9956520" y="1136686"/>
          <a:ext cx="2722431" cy="203481"/>
        </a:xfrm>
        <a:prstGeom prst="rect">
          <a:avLst/>
        </a:prstGeom>
        <a:solidFill>
          <a:srgbClr val="00206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100">
              <a:solidFill>
                <a:schemeClr val="bg1"/>
              </a:solidFill>
            </a:rPr>
            <a:t>Actual </a:t>
          </a:r>
          <a:r>
            <a:rPr lang="tr-TR" sz="1100" baseline="0">
              <a:solidFill>
                <a:schemeClr val="bg1"/>
              </a:solidFill>
            </a:rPr>
            <a:t> Expenses Breakdown</a:t>
          </a:r>
          <a:endParaRPr lang="tr-TR" sz="1100">
            <a:solidFill>
              <a:schemeClr val="bg1"/>
            </a:solidFill>
          </a:endParaRPr>
        </a:p>
      </xdr:txBody>
    </xdr:sp>
    <xdr:clientData/>
  </xdr:twoCellAnchor>
  <xdr:twoCellAnchor>
    <xdr:from>
      <xdr:col>11</xdr:col>
      <xdr:colOff>624475</xdr:colOff>
      <xdr:row>6</xdr:row>
      <xdr:rowOff>140331</xdr:rowOff>
    </xdr:from>
    <xdr:to>
      <xdr:col>15</xdr:col>
      <xdr:colOff>371879</xdr:colOff>
      <xdr:row>15</xdr:row>
      <xdr:rowOff>161381</xdr:rowOff>
    </xdr:to>
    <xdr:graphicFrame macro="">
      <xdr:nvGraphicFramePr>
        <xdr:cNvPr id="19" name="Grafik 18">
          <a:extLst>
            <a:ext uri="{FF2B5EF4-FFF2-40B4-BE49-F238E27FC236}">
              <a16:creationId xmlns:a16="http://schemas.microsoft.com/office/drawing/2014/main" id="{BB8D4E9C-FEB8-D2ED-1EC9-9F759D213C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C35D3-EFA6-0644-83A5-5B7EB2FB18E6}">
  <dimension ref="B5:K30"/>
  <sheetViews>
    <sheetView showGridLines="0" tabSelected="1" zoomScale="125" zoomScaleNormal="181" workbookViewId="0">
      <selection activeCell="R13" sqref="R13"/>
    </sheetView>
  </sheetViews>
  <sheetFormatPr baseColWidth="10" defaultRowHeight="16" x14ac:dyDescent="0.2"/>
  <cols>
    <col min="1" max="1" width="10.83203125" style="22"/>
    <col min="2" max="2" width="15.83203125" style="22" customWidth="1"/>
    <col min="3" max="4" width="10.83203125" style="22"/>
    <col min="5" max="5" width="4.83203125" style="22" customWidth="1"/>
    <col min="6" max="7" width="12" style="22" customWidth="1"/>
    <col min="8" max="16384" width="10.83203125" style="22"/>
  </cols>
  <sheetData>
    <row r="5" spans="2:11" x14ac:dyDescent="0.2">
      <c r="B5" s="21" t="s">
        <v>46</v>
      </c>
      <c r="C5" s="20" t="s">
        <v>56</v>
      </c>
    </row>
    <row r="6" spans="2:11" x14ac:dyDescent="0.2">
      <c r="B6" s="26" t="s">
        <v>0</v>
      </c>
      <c r="C6" s="29" t="s">
        <v>44</v>
      </c>
      <c r="D6" s="28" t="s">
        <v>45</v>
      </c>
      <c r="F6" s="27" t="s">
        <v>47</v>
      </c>
      <c r="G6" s="27" t="s">
        <v>48</v>
      </c>
      <c r="I6" s="39"/>
      <c r="J6" s="39"/>
      <c r="K6" s="39"/>
    </row>
    <row r="7" spans="2:11" x14ac:dyDescent="0.2">
      <c r="B7" s="21" t="s">
        <v>1</v>
      </c>
      <c r="I7" s="39"/>
      <c r="J7" s="39"/>
      <c r="K7" s="39"/>
    </row>
    <row r="8" spans="2:11" x14ac:dyDescent="0.2">
      <c r="B8" s="23" t="s">
        <v>2</v>
      </c>
      <c r="C8" s="22">
        <f>INDEX(Budget!$B$4:$N$18,MATCH(Dashboard!B8,Budget!$B$4:$B$18,0),MATCH(Dashboard!$C$5,Budget!$B$4:$N$4,0))</f>
        <v>3000</v>
      </c>
      <c r="D8" s="22">
        <f>SUMIFS(Actual!F:F,Actual!D:D,Dashboard!B8,Actual!C:C,Dashboard!$C$5)</f>
        <v>3000</v>
      </c>
      <c r="F8" s="22">
        <f>D8-C8</f>
        <v>0</v>
      </c>
      <c r="G8" s="35">
        <f>D8/C8-1</f>
        <v>0</v>
      </c>
    </row>
    <row r="9" spans="2:11" x14ac:dyDescent="0.2">
      <c r="B9" s="23" t="s">
        <v>3</v>
      </c>
      <c r="C9" s="22">
        <f>INDEX(Budget!$B$4:$N$18,MATCH(Dashboard!B9,Budget!$B$4:$B$18,0),MATCH(Dashboard!$C$5,Budget!$B$4:$N$4,0))</f>
        <v>500</v>
      </c>
      <c r="D9" s="22">
        <f>SUMIFS(Actual!F:F,Actual!D:D,Dashboard!B9,Actual!C:C,Dashboard!$C$5)</f>
        <v>708</v>
      </c>
      <c r="F9" s="22">
        <f t="shared" ref="F9:F11" si="0">D9-C9</f>
        <v>208</v>
      </c>
      <c r="G9" s="35">
        <f t="shared" ref="G9:G11" si="1">D9/C9-1</f>
        <v>0.41599999999999993</v>
      </c>
    </row>
    <row r="10" spans="2:11" x14ac:dyDescent="0.2">
      <c r="B10" s="23" t="s">
        <v>4</v>
      </c>
      <c r="C10" s="30">
        <f>INDEX(Budget!$B$4:$N$18,MATCH(Dashboard!B10,Budget!$B$4:$B$18,0),MATCH(Dashboard!$C$5,Budget!$B$4:$N$4,0))</f>
        <v>285.61</v>
      </c>
      <c r="D10" s="22">
        <f>SUMIFS(Actual!F:F,Actual!D:D,Dashboard!B10,Actual!C:C,Dashboard!$C$5)</f>
        <v>366</v>
      </c>
      <c r="F10" s="22">
        <f t="shared" si="0"/>
        <v>80.389999999999986</v>
      </c>
      <c r="G10" s="35">
        <f t="shared" si="1"/>
        <v>0.28146773572353911</v>
      </c>
    </row>
    <row r="11" spans="2:11" x14ac:dyDescent="0.2">
      <c r="B11" s="24" t="s">
        <v>5</v>
      </c>
      <c r="C11" s="32">
        <f>SUM(C8:C10)</f>
        <v>3785.61</v>
      </c>
      <c r="D11" s="32">
        <f>SUM(D8:D10)</f>
        <v>4074</v>
      </c>
      <c r="F11" s="31">
        <f t="shared" si="0"/>
        <v>288.38999999999987</v>
      </c>
      <c r="G11" s="36">
        <f t="shared" si="1"/>
        <v>7.6180589125662612E-2</v>
      </c>
    </row>
    <row r="12" spans="2:11" x14ac:dyDescent="0.2">
      <c r="B12" s="25"/>
      <c r="G12" s="35"/>
    </row>
    <row r="13" spans="2:11" x14ac:dyDescent="0.2">
      <c r="B13" s="21" t="s">
        <v>6</v>
      </c>
      <c r="G13" s="35"/>
    </row>
    <row r="14" spans="2:11" x14ac:dyDescent="0.2">
      <c r="B14" s="23" t="s">
        <v>7</v>
      </c>
      <c r="C14" s="22">
        <f>INDEX(Budget!$B$4:$N$18,MATCH(Dashboard!B14,Budget!$B$4:$B$18,0),MATCH(Dashboard!$C$5,Budget!$B$4:$N$4,0))</f>
        <v>1120</v>
      </c>
      <c r="D14" s="22">
        <f>SUMIFS(Actual!F:F,Actual!D:D,Dashboard!B14,Actual!C:C,Dashboard!$C$5)</f>
        <v>1120</v>
      </c>
      <c r="F14" s="22">
        <f>C14-D14</f>
        <v>0</v>
      </c>
      <c r="G14" s="35">
        <f>C14/D14-1</f>
        <v>0</v>
      </c>
    </row>
    <row r="15" spans="2:11" x14ac:dyDescent="0.2">
      <c r="B15" s="23" t="s">
        <v>8</v>
      </c>
      <c r="C15" s="22">
        <f>INDEX(Budget!$B$4:$N$18,MATCH(Dashboard!B15,Budget!$B$4:$B$18,0),MATCH(Dashboard!$C$5,Budget!$B$4:$N$4,0))</f>
        <v>112</v>
      </c>
      <c r="D15" s="22">
        <f>SUMIFS(Actual!F:F,Actual!D:D,Dashboard!B15,Actual!C:C,Dashboard!$C$5)</f>
        <v>155</v>
      </c>
      <c r="F15" s="22">
        <f t="shared" ref="F15:F20" si="2">C15-D15</f>
        <v>-43</v>
      </c>
      <c r="G15" s="35">
        <f t="shared" ref="G15:G20" si="3">C15/D15-1</f>
        <v>-0.27741935483870972</v>
      </c>
    </row>
    <row r="16" spans="2:11" x14ac:dyDescent="0.2">
      <c r="B16" s="23" t="s">
        <v>9</v>
      </c>
      <c r="C16" s="22">
        <f>INDEX(Budget!$B$4:$N$18,MATCH(Dashboard!B16,Budget!$B$4:$B$18,0),MATCH(Dashboard!$C$5,Budget!$B$4:$N$4,0))</f>
        <v>55</v>
      </c>
      <c r="D16" s="22">
        <f>SUMIFS(Actual!F:F,Actual!D:D,Dashboard!B16,Actual!C:C,Dashboard!$C$5)</f>
        <v>55</v>
      </c>
      <c r="F16" s="22">
        <f t="shared" si="2"/>
        <v>0</v>
      </c>
      <c r="G16" s="35">
        <f t="shared" si="3"/>
        <v>0</v>
      </c>
    </row>
    <row r="17" spans="2:7" x14ac:dyDescent="0.2">
      <c r="B17" s="23" t="s">
        <v>10</v>
      </c>
      <c r="C17" s="22">
        <f>INDEX(Budget!$B$4:$N$18,MATCH(Dashboard!B17,Budget!$B$4:$B$18,0),MATCH(Dashboard!$C$5,Budget!$B$4:$N$4,0))</f>
        <v>550</v>
      </c>
      <c r="D17" s="22">
        <f>SUMIFS(Actual!F:F,Actual!D:D,Dashboard!B17,Actual!C:C,Dashboard!$C$5)</f>
        <v>449</v>
      </c>
      <c r="F17" s="22">
        <f t="shared" si="2"/>
        <v>101</v>
      </c>
      <c r="G17" s="35">
        <f t="shared" si="3"/>
        <v>0.22494432071269488</v>
      </c>
    </row>
    <row r="18" spans="2:7" x14ac:dyDescent="0.2">
      <c r="B18" s="23" t="s">
        <v>11</v>
      </c>
      <c r="C18" s="22">
        <f>INDEX(Budget!$B$4:$N$18,MATCH(Dashboard!B18,Budget!$B$4:$B$18,0),MATCH(Dashboard!$C$5,Budget!$B$4:$N$4,0))</f>
        <v>400</v>
      </c>
      <c r="D18" s="22">
        <f>SUMIFS(Actual!F:F,Actual!D:D,Dashboard!B18,Actual!C:C,Dashboard!$C$5)</f>
        <v>646</v>
      </c>
      <c r="F18" s="22">
        <f t="shared" si="2"/>
        <v>-246</v>
      </c>
      <c r="G18" s="35">
        <f t="shared" si="3"/>
        <v>-0.38080495356037147</v>
      </c>
    </row>
    <row r="19" spans="2:7" x14ac:dyDescent="0.2">
      <c r="B19" s="23" t="s">
        <v>12</v>
      </c>
      <c r="C19" s="22">
        <f>INDEX(Budget!$B$4:$N$18,MATCH(Dashboard!B19,Budget!$B$4:$B$18,0),MATCH(Dashboard!$C$5,Budget!$B$4:$N$4,0))</f>
        <v>100</v>
      </c>
      <c r="D19" s="22">
        <f>SUMIFS(Actual!F:F,Actual!D:D,Dashboard!B19,Actual!C:C,Dashboard!$C$5)</f>
        <v>249</v>
      </c>
      <c r="F19" s="22">
        <f t="shared" si="2"/>
        <v>-149</v>
      </c>
      <c r="G19" s="35">
        <f t="shared" si="3"/>
        <v>-0.59839357429718876</v>
      </c>
    </row>
    <row r="20" spans="2:7" x14ac:dyDescent="0.2">
      <c r="B20" s="24" t="s">
        <v>13</v>
      </c>
      <c r="C20" s="31">
        <f>SUM(C14:C19)</f>
        <v>2337</v>
      </c>
      <c r="D20" s="31">
        <f>SUM(D14:D19)</f>
        <v>2674</v>
      </c>
      <c r="F20" s="31">
        <f t="shared" si="2"/>
        <v>-337</v>
      </c>
      <c r="G20" s="36">
        <f t="shared" si="3"/>
        <v>-0.12602842183994012</v>
      </c>
    </row>
    <row r="21" spans="2:7" x14ac:dyDescent="0.2">
      <c r="G21" s="35"/>
    </row>
    <row r="22" spans="2:7" x14ac:dyDescent="0.2">
      <c r="B22" s="33" t="s">
        <v>14</v>
      </c>
      <c r="C22" s="34">
        <f>C11-C20</f>
        <v>1448.6100000000001</v>
      </c>
      <c r="D22" s="34">
        <f>D11-D20</f>
        <v>1400</v>
      </c>
      <c r="F22" s="38">
        <f>D22-C22</f>
        <v>-48.610000000000127</v>
      </c>
      <c r="G22" s="37">
        <f>D22/C22-1</f>
        <v>-3.3556305699946942E-2</v>
      </c>
    </row>
    <row r="25" spans="2:7" x14ac:dyDescent="0.2">
      <c r="B25" s="23"/>
    </row>
    <row r="26" spans="2:7" x14ac:dyDescent="0.2">
      <c r="B26" s="23"/>
    </row>
    <row r="27" spans="2:7" x14ac:dyDescent="0.2">
      <c r="B27" s="23"/>
    </row>
    <row r="28" spans="2:7" x14ac:dyDescent="0.2">
      <c r="B28" s="23"/>
    </row>
    <row r="29" spans="2:7" x14ac:dyDescent="0.2">
      <c r="B29" s="23"/>
    </row>
    <row r="30" spans="2:7" x14ac:dyDescent="0.2">
      <c r="B30" s="23"/>
    </row>
  </sheetData>
  <conditionalFormatting sqref="F8:G22">
    <cfRule type="cellIs" dxfId="2" priority="1" operator="lessThan">
      <formula>0</formula>
    </cfRule>
    <cfRule type="cellIs" dxfId="1" priority="2" operator="greaterThan">
      <formula>0</formula>
    </cfRule>
    <cfRule type="expression" dxfId="0" priority="3">
      <formula>0</formula>
    </cfRule>
  </conditionalFormatting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556FD0B-91CC-8A49-BEEE-FB07CC40A3F2}">
          <x14:formula1>
            <xm:f>Budget!$C$4:$N$4</xm:f>
          </x14:formula1>
          <xm:sqref>C5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P1000"/>
  <sheetViews>
    <sheetView showGridLines="0" workbookViewId="0">
      <selection activeCell="N26" sqref="N26"/>
    </sheetView>
  </sheetViews>
  <sheetFormatPr baseColWidth="10" defaultColWidth="11.1640625" defaultRowHeight="15" customHeight="1" x14ac:dyDescent="0.2"/>
  <cols>
    <col min="1" max="1" width="10.5" customWidth="1"/>
    <col min="2" max="2" width="17.5" customWidth="1"/>
    <col min="3" max="26" width="10.5" customWidth="1"/>
  </cols>
  <sheetData>
    <row r="1" spans="2:16" ht="15.75" customHeight="1" x14ac:dyDescent="0.2"/>
    <row r="2" spans="2:16" ht="15.75" customHeight="1" x14ac:dyDescent="0.25">
      <c r="B2" s="2" t="s">
        <v>51</v>
      </c>
      <c r="C2" s="2"/>
      <c r="D2" s="2"/>
      <c r="E2" s="2"/>
      <c r="F2" s="2"/>
      <c r="G2" s="2"/>
      <c r="H2" s="2"/>
      <c r="I2" s="3"/>
      <c r="J2" s="3"/>
      <c r="K2" s="3"/>
      <c r="L2" s="3"/>
      <c r="M2" s="3"/>
      <c r="N2" s="3"/>
    </row>
    <row r="3" spans="2:16" ht="15.75" customHeight="1" x14ac:dyDescent="0.2"/>
    <row r="4" spans="2:16" ht="15.75" customHeight="1" x14ac:dyDescent="0.2">
      <c r="B4" s="8" t="s">
        <v>0</v>
      </c>
      <c r="C4" s="9" t="s">
        <v>52</v>
      </c>
      <c r="D4" s="9" t="s">
        <v>53</v>
      </c>
      <c r="E4" s="9" t="s">
        <v>54</v>
      </c>
      <c r="F4" s="9" t="s">
        <v>55</v>
      </c>
      <c r="G4" s="9" t="s">
        <v>56</v>
      </c>
      <c r="H4" s="9" t="s">
        <v>57</v>
      </c>
      <c r="I4" s="9" t="s">
        <v>58</v>
      </c>
      <c r="J4" s="9" t="s">
        <v>59</v>
      </c>
      <c r="K4" s="9" t="s">
        <v>60</v>
      </c>
      <c r="L4" s="9" t="s">
        <v>61</v>
      </c>
      <c r="M4" s="9" t="s">
        <v>62</v>
      </c>
      <c r="N4" s="9" t="s">
        <v>63</v>
      </c>
      <c r="O4" s="10"/>
    </row>
    <row r="5" spans="2:16" ht="15.75" customHeight="1" x14ac:dyDescent="0.2">
      <c r="B5" s="1" t="s">
        <v>1</v>
      </c>
    </row>
    <row r="6" spans="2:16" ht="15.75" customHeight="1" x14ac:dyDescent="0.2">
      <c r="B6" s="4" t="s">
        <v>2</v>
      </c>
      <c r="C6" s="11">
        <v>2200</v>
      </c>
      <c r="D6" s="11">
        <v>2200</v>
      </c>
      <c r="E6" s="11">
        <v>2200</v>
      </c>
      <c r="F6" s="11">
        <v>3000</v>
      </c>
      <c r="G6" s="11">
        <v>3000</v>
      </c>
      <c r="H6" s="11">
        <v>3000</v>
      </c>
      <c r="I6" s="11">
        <v>3000</v>
      </c>
      <c r="J6" s="11">
        <v>3000</v>
      </c>
      <c r="K6" s="11">
        <v>3000</v>
      </c>
      <c r="L6" s="11">
        <v>3000</v>
      </c>
      <c r="M6" s="11">
        <v>3000</v>
      </c>
      <c r="N6" s="11">
        <v>3000</v>
      </c>
    </row>
    <row r="7" spans="2:16" ht="15.75" customHeight="1" x14ac:dyDescent="0.2">
      <c r="B7" s="4" t="s">
        <v>3</v>
      </c>
      <c r="C7" s="11">
        <v>500</v>
      </c>
      <c r="D7" s="11">
        <f>C7*1.1</f>
        <v>550</v>
      </c>
      <c r="E7" s="11">
        <v>500</v>
      </c>
      <c r="F7" s="11">
        <v>500</v>
      </c>
      <c r="G7" s="11">
        <v>500</v>
      </c>
      <c r="H7" s="11">
        <v>500</v>
      </c>
      <c r="I7" s="11">
        <v>500</v>
      </c>
      <c r="J7" s="11">
        <v>500</v>
      </c>
      <c r="K7" s="11">
        <v>500</v>
      </c>
      <c r="L7" s="11">
        <v>500</v>
      </c>
      <c r="M7" s="11">
        <v>500</v>
      </c>
      <c r="N7" s="11">
        <v>500</v>
      </c>
    </row>
    <row r="8" spans="2:16" ht="15.75" customHeight="1" x14ac:dyDescent="0.2">
      <c r="B8" s="4" t="s">
        <v>4</v>
      </c>
      <c r="C8" s="11">
        <v>100</v>
      </c>
      <c r="D8" s="11">
        <f t="shared" ref="D8:N8" si="0">C8*1.3</f>
        <v>130</v>
      </c>
      <c r="E8" s="11">
        <f t="shared" si="0"/>
        <v>169</v>
      </c>
      <c r="F8" s="11">
        <f t="shared" si="0"/>
        <v>219.70000000000002</v>
      </c>
      <c r="G8" s="11">
        <f t="shared" si="0"/>
        <v>285.61</v>
      </c>
      <c r="H8" s="11">
        <f t="shared" si="0"/>
        <v>371.29300000000001</v>
      </c>
      <c r="I8" s="11">
        <f t="shared" si="0"/>
        <v>482.68090000000001</v>
      </c>
      <c r="J8" s="11">
        <f t="shared" si="0"/>
        <v>627.48517000000004</v>
      </c>
      <c r="K8" s="11">
        <f t="shared" si="0"/>
        <v>815.73072100000013</v>
      </c>
      <c r="L8" s="11">
        <f t="shared" si="0"/>
        <v>1060.4499373000001</v>
      </c>
      <c r="M8" s="11">
        <f t="shared" si="0"/>
        <v>1378.5849184900003</v>
      </c>
      <c r="N8" s="11">
        <f t="shared" si="0"/>
        <v>1792.1603940370005</v>
      </c>
    </row>
    <row r="9" spans="2:16" ht="15.75" customHeight="1" x14ac:dyDescent="0.2">
      <c r="B9" s="12" t="s">
        <v>5</v>
      </c>
      <c r="C9" s="13">
        <f t="shared" ref="C9:N9" si="1">SUM(C6:C8)</f>
        <v>2800</v>
      </c>
      <c r="D9" s="13">
        <f t="shared" si="1"/>
        <v>2880</v>
      </c>
      <c r="E9" s="13">
        <f t="shared" si="1"/>
        <v>2869</v>
      </c>
      <c r="F9" s="13">
        <f t="shared" si="1"/>
        <v>3719.7</v>
      </c>
      <c r="G9" s="13">
        <f t="shared" si="1"/>
        <v>3785.61</v>
      </c>
      <c r="H9" s="13">
        <f t="shared" si="1"/>
        <v>3871.2930000000001</v>
      </c>
      <c r="I9" s="13">
        <f t="shared" si="1"/>
        <v>3982.6808999999998</v>
      </c>
      <c r="J9" s="13">
        <f t="shared" si="1"/>
        <v>4127.4851699999999</v>
      </c>
      <c r="K9" s="13">
        <f t="shared" si="1"/>
        <v>4315.7307209999999</v>
      </c>
      <c r="L9" s="13">
        <f t="shared" si="1"/>
        <v>4560.4499372999999</v>
      </c>
      <c r="M9" s="13">
        <f t="shared" si="1"/>
        <v>4878.5849184899998</v>
      </c>
      <c r="N9" s="13">
        <f t="shared" si="1"/>
        <v>5292.1603940370005</v>
      </c>
      <c r="O9" s="6"/>
      <c r="P9" s="6"/>
    </row>
    <row r="10" spans="2:16" ht="15.75" customHeight="1" x14ac:dyDescent="0.2">
      <c r="B10" s="7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2:16" ht="15.75" customHeight="1" x14ac:dyDescent="0.2">
      <c r="B11" s="1" t="s">
        <v>6</v>
      </c>
    </row>
    <row r="12" spans="2:16" ht="15.75" customHeight="1" x14ac:dyDescent="0.2">
      <c r="B12" s="4" t="s">
        <v>7</v>
      </c>
      <c r="C12" s="11">
        <v>1120</v>
      </c>
      <c r="D12" s="11">
        <v>1120</v>
      </c>
      <c r="E12" s="11">
        <v>1120</v>
      </c>
      <c r="F12" s="11">
        <v>1120</v>
      </c>
      <c r="G12" s="11">
        <v>1120</v>
      </c>
      <c r="H12" s="11">
        <v>1120</v>
      </c>
      <c r="I12" s="11">
        <v>1120</v>
      </c>
      <c r="J12" s="11">
        <v>1120</v>
      </c>
      <c r="K12" s="11">
        <v>1120</v>
      </c>
      <c r="L12" s="11">
        <v>1120</v>
      </c>
      <c r="M12" s="11">
        <v>1120</v>
      </c>
      <c r="N12" s="11">
        <v>1120</v>
      </c>
    </row>
    <row r="13" spans="2:16" ht="15.75" customHeight="1" x14ac:dyDescent="0.2">
      <c r="B13" s="4" t="s">
        <v>8</v>
      </c>
      <c r="C13" s="11">
        <f t="shared" ref="C13:N13" si="2">C12*0.1</f>
        <v>112</v>
      </c>
      <c r="D13" s="11">
        <f t="shared" si="2"/>
        <v>112</v>
      </c>
      <c r="E13" s="11">
        <f t="shared" si="2"/>
        <v>112</v>
      </c>
      <c r="F13" s="11">
        <f t="shared" si="2"/>
        <v>112</v>
      </c>
      <c r="G13" s="11">
        <f t="shared" si="2"/>
        <v>112</v>
      </c>
      <c r="H13" s="11">
        <f t="shared" si="2"/>
        <v>112</v>
      </c>
      <c r="I13" s="11">
        <f t="shared" si="2"/>
        <v>112</v>
      </c>
      <c r="J13" s="11">
        <f t="shared" si="2"/>
        <v>112</v>
      </c>
      <c r="K13" s="11">
        <f t="shared" si="2"/>
        <v>112</v>
      </c>
      <c r="L13" s="11">
        <f t="shared" si="2"/>
        <v>112</v>
      </c>
      <c r="M13" s="11">
        <f t="shared" si="2"/>
        <v>112</v>
      </c>
      <c r="N13" s="11">
        <f t="shared" si="2"/>
        <v>112</v>
      </c>
    </row>
    <row r="14" spans="2:16" ht="15.75" customHeight="1" x14ac:dyDescent="0.2">
      <c r="B14" s="4" t="s">
        <v>9</v>
      </c>
      <c r="C14" s="11">
        <v>55</v>
      </c>
      <c r="D14" s="11">
        <v>55</v>
      </c>
      <c r="E14" s="11">
        <v>55</v>
      </c>
      <c r="F14" s="11">
        <v>55</v>
      </c>
      <c r="G14" s="11">
        <v>55</v>
      </c>
      <c r="H14" s="11">
        <v>55</v>
      </c>
      <c r="I14" s="11">
        <v>55</v>
      </c>
      <c r="J14" s="11">
        <v>55</v>
      </c>
      <c r="K14" s="11">
        <v>55</v>
      </c>
      <c r="L14" s="11">
        <v>55</v>
      </c>
      <c r="M14" s="11">
        <v>55</v>
      </c>
      <c r="N14" s="11">
        <v>55</v>
      </c>
    </row>
    <row r="15" spans="2:16" ht="15.75" customHeight="1" x14ac:dyDescent="0.2">
      <c r="B15" s="4" t="s">
        <v>10</v>
      </c>
      <c r="C15" s="11">
        <v>550</v>
      </c>
      <c r="D15" s="11">
        <v>550</v>
      </c>
      <c r="E15" s="11">
        <v>550</v>
      </c>
      <c r="F15" s="11">
        <v>550</v>
      </c>
      <c r="G15" s="11">
        <v>550</v>
      </c>
      <c r="H15" s="11">
        <v>550</v>
      </c>
      <c r="I15" s="11">
        <v>550</v>
      </c>
      <c r="J15" s="11">
        <v>550</v>
      </c>
      <c r="K15" s="11">
        <v>550</v>
      </c>
      <c r="L15" s="11">
        <v>550</v>
      </c>
      <c r="M15" s="11">
        <v>550</v>
      </c>
      <c r="N15" s="11">
        <v>550</v>
      </c>
    </row>
    <row r="16" spans="2:16" ht="15.75" customHeight="1" x14ac:dyDescent="0.2">
      <c r="B16" s="4" t="s">
        <v>11</v>
      </c>
      <c r="C16" s="11">
        <v>400</v>
      </c>
      <c r="D16" s="11">
        <v>400</v>
      </c>
      <c r="E16" s="11">
        <v>400</v>
      </c>
      <c r="F16" s="11">
        <v>400</v>
      </c>
      <c r="G16" s="11">
        <v>400</v>
      </c>
      <c r="H16" s="11">
        <v>400</v>
      </c>
      <c r="I16" s="11">
        <v>400</v>
      </c>
      <c r="J16" s="11">
        <v>400</v>
      </c>
      <c r="K16" s="11">
        <v>400</v>
      </c>
      <c r="L16" s="11">
        <v>400</v>
      </c>
      <c r="M16" s="11">
        <v>400</v>
      </c>
      <c r="N16" s="11">
        <v>400</v>
      </c>
    </row>
    <row r="17" spans="2:14" ht="15.75" customHeight="1" x14ac:dyDescent="0.2">
      <c r="B17" s="4" t="s">
        <v>12</v>
      </c>
      <c r="C17" s="11">
        <v>100</v>
      </c>
      <c r="D17" s="11">
        <v>100</v>
      </c>
      <c r="E17" s="11">
        <v>100</v>
      </c>
      <c r="F17" s="11">
        <v>100</v>
      </c>
      <c r="G17" s="11">
        <v>100</v>
      </c>
      <c r="H17" s="11">
        <v>100</v>
      </c>
      <c r="I17" s="11">
        <v>100</v>
      </c>
      <c r="J17" s="11">
        <v>100</v>
      </c>
      <c r="K17" s="11">
        <v>100</v>
      </c>
      <c r="L17" s="11">
        <v>100</v>
      </c>
      <c r="M17" s="11">
        <v>100</v>
      </c>
      <c r="N17" s="11">
        <v>100</v>
      </c>
    </row>
    <row r="18" spans="2:14" ht="15.75" customHeight="1" x14ac:dyDescent="0.2">
      <c r="B18" s="12" t="s">
        <v>13</v>
      </c>
      <c r="C18" s="13">
        <f t="shared" ref="C18:N18" si="3">SUM(C12:C17)</f>
        <v>2337</v>
      </c>
      <c r="D18" s="13">
        <f t="shared" si="3"/>
        <v>2337</v>
      </c>
      <c r="E18" s="13">
        <f t="shared" si="3"/>
        <v>2337</v>
      </c>
      <c r="F18" s="13">
        <f t="shared" si="3"/>
        <v>2337</v>
      </c>
      <c r="G18" s="13">
        <f t="shared" si="3"/>
        <v>2337</v>
      </c>
      <c r="H18" s="13">
        <f t="shared" si="3"/>
        <v>2337</v>
      </c>
      <c r="I18" s="13">
        <f t="shared" si="3"/>
        <v>2337</v>
      </c>
      <c r="J18" s="13">
        <f t="shared" si="3"/>
        <v>2337</v>
      </c>
      <c r="K18" s="13">
        <f t="shared" si="3"/>
        <v>2337</v>
      </c>
      <c r="L18" s="13">
        <f t="shared" si="3"/>
        <v>2337</v>
      </c>
      <c r="M18" s="13">
        <f t="shared" si="3"/>
        <v>2337</v>
      </c>
      <c r="N18" s="13">
        <f t="shared" si="3"/>
        <v>2337</v>
      </c>
    </row>
    <row r="19" spans="2:14" ht="15.75" customHeight="1" x14ac:dyDescent="0.2"/>
    <row r="20" spans="2:14" ht="15.75" customHeight="1" x14ac:dyDescent="0.2">
      <c r="B20" s="14" t="s">
        <v>14</v>
      </c>
      <c r="C20" s="15">
        <f t="shared" ref="C20:N20" si="4">C9-C18</f>
        <v>463</v>
      </c>
      <c r="D20" s="15">
        <f t="shared" si="4"/>
        <v>543</v>
      </c>
      <c r="E20" s="15">
        <f t="shared" si="4"/>
        <v>532</v>
      </c>
      <c r="F20" s="15">
        <f t="shared" si="4"/>
        <v>1382.6999999999998</v>
      </c>
      <c r="G20" s="15">
        <f t="shared" si="4"/>
        <v>1448.6100000000001</v>
      </c>
      <c r="H20" s="15">
        <f t="shared" si="4"/>
        <v>1534.2930000000001</v>
      </c>
      <c r="I20" s="15">
        <f t="shared" si="4"/>
        <v>1645.6808999999998</v>
      </c>
      <c r="J20" s="15">
        <f t="shared" si="4"/>
        <v>1790.4851699999999</v>
      </c>
      <c r="K20" s="15">
        <f t="shared" si="4"/>
        <v>1978.7307209999999</v>
      </c>
      <c r="L20" s="15">
        <f t="shared" si="4"/>
        <v>2223.4499372999999</v>
      </c>
      <c r="M20" s="15">
        <f t="shared" si="4"/>
        <v>2541.5849184899998</v>
      </c>
      <c r="N20" s="15">
        <f t="shared" si="4"/>
        <v>2955.1603940370005</v>
      </c>
    </row>
    <row r="21" spans="2:14" ht="15.75" customHeight="1" x14ac:dyDescent="0.2">
      <c r="B21" s="16" t="s">
        <v>15</v>
      </c>
      <c r="C21" s="17">
        <f>C20</f>
        <v>463</v>
      </c>
      <c r="D21" s="17">
        <f t="shared" ref="D21:N21" si="5">D20+C21</f>
        <v>1006</v>
      </c>
      <c r="E21" s="17">
        <f t="shared" si="5"/>
        <v>1538</v>
      </c>
      <c r="F21" s="17">
        <f t="shared" si="5"/>
        <v>2920.7</v>
      </c>
      <c r="G21" s="17">
        <f t="shared" si="5"/>
        <v>4369.3099999999995</v>
      </c>
      <c r="H21" s="17">
        <f t="shared" si="5"/>
        <v>5903.6029999999992</v>
      </c>
      <c r="I21" s="17">
        <f t="shared" si="5"/>
        <v>7549.2838999999985</v>
      </c>
      <c r="J21" s="17">
        <f t="shared" si="5"/>
        <v>9339.7690699999985</v>
      </c>
      <c r="K21" s="17">
        <f t="shared" si="5"/>
        <v>11318.499790999998</v>
      </c>
      <c r="L21" s="17">
        <f t="shared" si="5"/>
        <v>13541.949728299998</v>
      </c>
      <c r="M21" s="17">
        <f t="shared" si="5"/>
        <v>16083.534646789998</v>
      </c>
      <c r="N21" s="17">
        <f t="shared" si="5"/>
        <v>19038.695040826999</v>
      </c>
    </row>
    <row r="22" spans="2:14" ht="15.75" customHeight="1" x14ac:dyDescent="0.2"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</row>
    <row r="23" spans="2:14" ht="15.75" customHeight="1" x14ac:dyDescent="0.2"/>
    <row r="24" spans="2:14" ht="15.75" customHeight="1" x14ac:dyDescent="0.2"/>
    <row r="25" spans="2:14" ht="15.75" customHeight="1" x14ac:dyDescent="0.2"/>
    <row r="26" spans="2:14" ht="15.75" customHeight="1" x14ac:dyDescent="0.2"/>
    <row r="27" spans="2:14" ht="15.75" customHeight="1" x14ac:dyDescent="0.2"/>
    <row r="28" spans="2:14" ht="15.75" customHeight="1" x14ac:dyDescent="0.2"/>
    <row r="29" spans="2:14" ht="15.75" customHeight="1" x14ac:dyDescent="0.2">
      <c r="J29" s="11"/>
    </row>
    <row r="30" spans="2:14" ht="15.75" customHeight="1" x14ac:dyDescent="0.2"/>
    <row r="31" spans="2:14" ht="15.75" customHeight="1" x14ac:dyDescent="0.2"/>
    <row r="32" spans="2:14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1000"/>
  <sheetViews>
    <sheetView showGridLines="0" workbookViewId="0">
      <pane ySplit="4" topLeftCell="A45" activePane="bottomLeft" state="frozen"/>
      <selection pane="bottomLeft" activeCell="B60" sqref="B60"/>
    </sheetView>
  </sheetViews>
  <sheetFormatPr baseColWidth="10" defaultColWidth="11.1640625" defaultRowHeight="15" customHeight="1" x14ac:dyDescent="0.2"/>
  <cols>
    <col min="1" max="1" width="13.5" customWidth="1"/>
    <col min="2" max="4" width="10.5" customWidth="1"/>
    <col min="5" max="5" width="34.33203125" customWidth="1"/>
    <col min="6" max="26" width="10.5" customWidth="1"/>
  </cols>
  <sheetData>
    <row r="1" spans="2:8" ht="15.75" customHeight="1" x14ac:dyDescent="0.2">
      <c r="B1" s="1" t="s">
        <v>50</v>
      </c>
      <c r="C1" s="1" t="s">
        <v>50</v>
      </c>
    </row>
    <row r="2" spans="2:8" ht="15.75" customHeight="1" x14ac:dyDescent="0.25">
      <c r="B2" s="2" t="s">
        <v>49</v>
      </c>
      <c r="C2" s="2"/>
      <c r="D2" s="2"/>
      <c r="E2" s="2"/>
      <c r="F2" s="2"/>
      <c r="G2" s="2"/>
      <c r="H2" s="2"/>
    </row>
    <row r="3" spans="2:8" ht="15.75" customHeight="1" x14ac:dyDescent="0.2"/>
    <row r="4" spans="2:8" ht="15.75" customHeight="1" x14ac:dyDescent="0.2">
      <c r="B4" s="18" t="s">
        <v>16</v>
      </c>
      <c r="C4" s="18" t="s">
        <v>17</v>
      </c>
      <c r="D4" s="18" t="s">
        <v>18</v>
      </c>
      <c r="E4" s="18" t="s">
        <v>19</v>
      </c>
      <c r="F4" s="18" t="s">
        <v>20</v>
      </c>
      <c r="H4" s="18" t="s">
        <v>21</v>
      </c>
    </row>
    <row r="5" spans="2:8" ht="15.75" customHeight="1" x14ac:dyDescent="0.2">
      <c r="B5" s="19">
        <v>46023</v>
      </c>
      <c r="C5" t="str">
        <f>TEXT(B5,"AAAA")</f>
        <v>Ocak</v>
      </c>
      <c r="D5" s="1" t="s">
        <v>7</v>
      </c>
      <c r="E5" s="1" t="s">
        <v>22</v>
      </c>
      <c r="F5" s="11">
        <v>1120</v>
      </c>
      <c r="H5" s="4" t="s">
        <v>2</v>
      </c>
    </row>
    <row r="6" spans="2:8" ht="15.75" customHeight="1" x14ac:dyDescent="0.2">
      <c r="B6" s="19">
        <v>46023</v>
      </c>
      <c r="C6" t="str">
        <f t="shared" ref="C6:C10" si="0">TEXT(B6,"AAAA")</f>
        <v>Ocak</v>
      </c>
      <c r="D6" s="1" t="s">
        <v>8</v>
      </c>
      <c r="E6" s="1" t="s">
        <v>23</v>
      </c>
      <c r="F6" s="11">
        <v>140</v>
      </c>
      <c r="H6" s="4" t="s">
        <v>3</v>
      </c>
    </row>
    <row r="7" spans="2:8" ht="15.75" customHeight="1" x14ac:dyDescent="0.2">
      <c r="B7" s="19">
        <v>46023</v>
      </c>
      <c r="C7" t="str">
        <f t="shared" si="0"/>
        <v>Ocak</v>
      </c>
      <c r="D7" s="1" t="s">
        <v>9</v>
      </c>
      <c r="E7" s="1" t="s">
        <v>24</v>
      </c>
      <c r="F7" s="11">
        <v>55</v>
      </c>
      <c r="H7" s="4" t="s">
        <v>4</v>
      </c>
    </row>
    <row r="8" spans="2:8" ht="15.75" customHeight="1" x14ac:dyDescent="0.2">
      <c r="B8" s="19">
        <v>46030</v>
      </c>
      <c r="C8" t="str">
        <f t="shared" si="0"/>
        <v>Ocak</v>
      </c>
      <c r="D8" s="1" t="s">
        <v>10</v>
      </c>
      <c r="E8" s="1" t="s">
        <v>25</v>
      </c>
      <c r="F8" s="11">
        <v>449</v>
      </c>
      <c r="H8" s="4" t="s">
        <v>7</v>
      </c>
    </row>
    <row r="9" spans="2:8" ht="15.75" customHeight="1" x14ac:dyDescent="0.2">
      <c r="B9" s="19">
        <v>46033</v>
      </c>
      <c r="C9" t="str">
        <f t="shared" si="0"/>
        <v>Ocak</v>
      </c>
      <c r="D9" s="1" t="s">
        <v>11</v>
      </c>
      <c r="E9" s="1" t="s">
        <v>26</v>
      </c>
      <c r="F9" s="11">
        <v>245</v>
      </c>
      <c r="H9" s="4" t="s">
        <v>8</v>
      </c>
    </row>
    <row r="10" spans="2:8" ht="15.75" customHeight="1" x14ac:dyDescent="0.2">
      <c r="B10" s="19">
        <v>46034</v>
      </c>
      <c r="C10" t="str">
        <f t="shared" si="0"/>
        <v>Ocak</v>
      </c>
      <c r="D10" s="1" t="s">
        <v>11</v>
      </c>
      <c r="E10" s="1" t="s">
        <v>27</v>
      </c>
      <c r="F10" s="11">
        <v>168</v>
      </c>
      <c r="H10" s="4" t="s">
        <v>9</v>
      </c>
    </row>
    <row r="11" spans="2:8" ht="15.75" customHeight="1" x14ac:dyDescent="0.2">
      <c r="B11" s="19">
        <v>46034</v>
      </c>
      <c r="C11" s="1" t="str">
        <f t="shared" ref="C11:C59" si="1">TEXT(B11,"AAAA")</f>
        <v>Ocak</v>
      </c>
      <c r="D11" s="1" t="s">
        <v>11</v>
      </c>
      <c r="E11" s="1" t="s">
        <v>28</v>
      </c>
      <c r="F11" s="11">
        <v>149</v>
      </c>
      <c r="H11" s="4" t="s">
        <v>10</v>
      </c>
    </row>
    <row r="12" spans="2:8" ht="15.75" customHeight="1" x14ac:dyDescent="0.2">
      <c r="B12" s="19">
        <v>46036</v>
      </c>
      <c r="C12" s="1" t="str">
        <f t="shared" si="1"/>
        <v>Ocak</v>
      </c>
      <c r="D12" s="1" t="s">
        <v>12</v>
      </c>
      <c r="E12" s="1" t="s">
        <v>29</v>
      </c>
      <c r="F12" s="11">
        <v>249</v>
      </c>
      <c r="H12" s="4" t="s">
        <v>11</v>
      </c>
    </row>
    <row r="13" spans="2:8" ht="15.75" customHeight="1" x14ac:dyDescent="0.2">
      <c r="B13" s="19">
        <v>46053</v>
      </c>
      <c r="C13" s="1" t="str">
        <f t="shared" si="1"/>
        <v>Ocak</v>
      </c>
      <c r="D13" s="1" t="s">
        <v>3</v>
      </c>
      <c r="E13" s="1" t="s">
        <v>30</v>
      </c>
      <c r="F13" s="11">
        <v>458</v>
      </c>
      <c r="H13" s="4" t="s">
        <v>12</v>
      </c>
    </row>
    <row r="14" spans="2:8" ht="15.75" customHeight="1" x14ac:dyDescent="0.2">
      <c r="B14" s="19">
        <v>46053</v>
      </c>
      <c r="C14" s="1" t="str">
        <f t="shared" si="1"/>
        <v>Ocak</v>
      </c>
      <c r="D14" s="1" t="s">
        <v>2</v>
      </c>
      <c r="E14" s="1" t="s">
        <v>31</v>
      </c>
      <c r="F14" s="11">
        <v>3000</v>
      </c>
    </row>
    <row r="15" spans="2:8" ht="15.75" customHeight="1" x14ac:dyDescent="0.2">
      <c r="B15" s="19">
        <v>46053</v>
      </c>
      <c r="C15" s="1" t="str">
        <f t="shared" si="1"/>
        <v>Ocak</v>
      </c>
      <c r="D15" s="1" t="s">
        <v>4</v>
      </c>
      <c r="E15" s="1" t="s">
        <v>32</v>
      </c>
      <c r="F15" s="11">
        <v>184</v>
      </c>
    </row>
    <row r="16" spans="2:8" ht="15.75" customHeight="1" x14ac:dyDescent="0.2">
      <c r="B16" s="19">
        <v>46054</v>
      </c>
      <c r="C16" s="1" t="str">
        <f t="shared" si="1"/>
        <v>Şubat</v>
      </c>
      <c r="D16" s="1" t="s">
        <v>7</v>
      </c>
      <c r="E16" s="1" t="s">
        <v>22</v>
      </c>
      <c r="F16" s="11">
        <v>1120</v>
      </c>
    </row>
    <row r="17" spans="2:6" ht="15.75" customHeight="1" x14ac:dyDescent="0.2">
      <c r="B17" s="19">
        <v>46054</v>
      </c>
      <c r="C17" s="1" t="str">
        <f t="shared" si="1"/>
        <v>Şubat</v>
      </c>
      <c r="D17" s="1" t="s">
        <v>8</v>
      </c>
      <c r="E17" s="1" t="s">
        <v>33</v>
      </c>
      <c r="F17" s="11">
        <v>105</v>
      </c>
    </row>
    <row r="18" spans="2:6" ht="15.75" customHeight="1" x14ac:dyDescent="0.2">
      <c r="B18" s="19">
        <v>46054</v>
      </c>
      <c r="C18" s="1" t="str">
        <f t="shared" si="1"/>
        <v>Şubat</v>
      </c>
      <c r="D18" s="1" t="s">
        <v>9</v>
      </c>
      <c r="E18" s="1" t="s">
        <v>24</v>
      </c>
      <c r="F18" s="11">
        <v>55</v>
      </c>
    </row>
    <row r="19" spans="2:6" ht="15.75" customHeight="1" x14ac:dyDescent="0.2">
      <c r="B19" s="19">
        <v>46061</v>
      </c>
      <c r="C19" s="1" t="str">
        <f t="shared" si="1"/>
        <v>Şubat</v>
      </c>
      <c r="D19" s="1" t="s">
        <v>10</v>
      </c>
      <c r="E19" s="1" t="s">
        <v>25</v>
      </c>
      <c r="F19" s="11">
        <v>305</v>
      </c>
    </row>
    <row r="20" spans="2:6" ht="15.75" customHeight="1" x14ac:dyDescent="0.2">
      <c r="B20" s="19">
        <v>46064</v>
      </c>
      <c r="C20" s="1" t="str">
        <f t="shared" si="1"/>
        <v>Şubat</v>
      </c>
      <c r="D20" s="1" t="s">
        <v>11</v>
      </c>
      <c r="E20" s="1" t="s">
        <v>34</v>
      </c>
      <c r="F20" s="11">
        <v>28</v>
      </c>
    </row>
    <row r="21" spans="2:6" ht="15.75" customHeight="1" x14ac:dyDescent="0.2">
      <c r="B21" s="19">
        <v>46065</v>
      </c>
      <c r="C21" s="1" t="str">
        <f t="shared" si="1"/>
        <v>Şubat</v>
      </c>
      <c r="D21" s="1" t="s">
        <v>11</v>
      </c>
      <c r="E21" s="1" t="s">
        <v>35</v>
      </c>
      <c r="F21" s="11">
        <v>99</v>
      </c>
    </row>
    <row r="22" spans="2:6" ht="15.75" customHeight="1" x14ac:dyDescent="0.2">
      <c r="B22" s="19">
        <v>46065</v>
      </c>
      <c r="C22" s="1" t="str">
        <f t="shared" si="1"/>
        <v>Şubat</v>
      </c>
      <c r="D22" s="1" t="s">
        <v>11</v>
      </c>
      <c r="E22" s="1" t="s">
        <v>36</v>
      </c>
      <c r="F22" s="11">
        <v>67</v>
      </c>
    </row>
    <row r="23" spans="2:6" ht="15.75" customHeight="1" x14ac:dyDescent="0.2">
      <c r="B23" s="19">
        <v>46067</v>
      </c>
      <c r="C23" s="1" t="str">
        <f t="shared" si="1"/>
        <v>Şubat</v>
      </c>
      <c r="D23" s="1" t="s">
        <v>12</v>
      </c>
      <c r="E23" s="1" t="s">
        <v>37</v>
      </c>
      <c r="F23" s="11">
        <v>18</v>
      </c>
    </row>
    <row r="24" spans="2:6" ht="15.75" customHeight="1" x14ac:dyDescent="0.2">
      <c r="B24" s="19">
        <v>46081</v>
      </c>
      <c r="C24" s="1" t="str">
        <f t="shared" si="1"/>
        <v>Şubat</v>
      </c>
      <c r="D24" s="1" t="s">
        <v>3</v>
      </c>
      <c r="E24" s="1" t="s">
        <v>30</v>
      </c>
      <c r="F24" s="11">
        <v>305</v>
      </c>
    </row>
    <row r="25" spans="2:6" ht="15.75" customHeight="1" x14ac:dyDescent="0.2">
      <c r="B25" s="19">
        <v>46081</v>
      </c>
      <c r="C25" s="1" t="str">
        <f t="shared" si="1"/>
        <v>Şubat</v>
      </c>
      <c r="D25" s="1" t="s">
        <v>2</v>
      </c>
      <c r="E25" s="1" t="s">
        <v>31</v>
      </c>
      <c r="F25" s="11">
        <v>3000</v>
      </c>
    </row>
    <row r="26" spans="2:6" ht="15.75" customHeight="1" x14ac:dyDescent="0.2">
      <c r="B26" s="19">
        <v>46081</v>
      </c>
      <c r="C26" s="1" t="str">
        <f t="shared" si="1"/>
        <v>Şubat</v>
      </c>
      <c r="D26" s="1" t="s">
        <v>4</v>
      </c>
      <c r="E26" s="1" t="s">
        <v>32</v>
      </c>
      <c r="F26" s="11">
        <v>228</v>
      </c>
    </row>
    <row r="27" spans="2:6" ht="15.75" customHeight="1" x14ac:dyDescent="0.2">
      <c r="B27" s="19">
        <v>46082</v>
      </c>
      <c r="C27" s="1" t="str">
        <f t="shared" si="1"/>
        <v>Mart</v>
      </c>
      <c r="D27" s="1" t="s">
        <v>7</v>
      </c>
      <c r="E27" s="1" t="s">
        <v>22</v>
      </c>
      <c r="F27" s="11">
        <v>1120</v>
      </c>
    </row>
    <row r="28" spans="2:6" ht="15.75" customHeight="1" x14ac:dyDescent="0.2">
      <c r="B28" s="19">
        <v>46082</v>
      </c>
      <c r="C28" s="1" t="str">
        <f t="shared" si="1"/>
        <v>Mart</v>
      </c>
      <c r="D28" s="1" t="s">
        <v>8</v>
      </c>
      <c r="E28" s="1" t="s">
        <v>33</v>
      </c>
      <c r="F28" s="11">
        <v>110</v>
      </c>
    </row>
    <row r="29" spans="2:6" ht="15.75" customHeight="1" x14ac:dyDescent="0.2">
      <c r="B29" s="19">
        <v>46082</v>
      </c>
      <c r="C29" s="1" t="str">
        <f t="shared" si="1"/>
        <v>Mart</v>
      </c>
      <c r="D29" s="1" t="s">
        <v>9</v>
      </c>
      <c r="E29" s="1" t="s">
        <v>24</v>
      </c>
      <c r="F29" s="11">
        <v>55</v>
      </c>
    </row>
    <row r="30" spans="2:6" ht="15.75" customHeight="1" x14ac:dyDescent="0.2">
      <c r="B30" s="19">
        <v>46089</v>
      </c>
      <c r="C30" s="1" t="str">
        <f t="shared" si="1"/>
        <v>Mart</v>
      </c>
      <c r="D30" s="1" t="s">
        <v>10</v>
      </c>
      <c r="E30" s="1" t="s">
        <v>25</v>
      </c>
      <c r="F30" s="11">
        <v>208</v>
      </c>
    </row>
    <row r="31" spans="2:6" ht="15.75" customHeight="1" x14ac:dyDescent="0.2">
      <c r="B31" s="19">
        <v>46092</v>
      </c>
      <c r="C31" s="1" t="str">
        <f t="shared" si="1"/>
        <v>Mart</v>
      </c>
      <c r="D31" s="1" t="s">
        <v>11</v>
      </c>
      <c r="E31" s="1" t="s">
        <v>38</v>
      </c>
      <c r="F31" s="11">
        <v>188</v>
      </c>
    </row>
    <row r="32" spans="2:6" ht="15.75" customHeight="1" x14ac:dyDescent="0.2">
      <c r="B32" s="19">
        <v>46093</v>
      </c>
      <c r="C32" s="1" t="str">
        <f t="shared" si="1"/>
        <v>Mart</v>
      </c>
      <c r="D32" s="1" t="s">
        <v>11</v>
      </c>
      <c r="E32" s="1" t="s">
        <v>39</v>
      </c>
      <c r="F32" s="11">
        <v>168</v>
      </c>
    </row>
    <row r="33" spans="2:6" ht="15.75" customHeight="1" x14ac:dyDescent="0.2">
      <c r="B33" s="19">
        <v>46093</v>
      </c>
      <c r="C33" s="1" t="str">
        <f t="shared" si="1"/>
        <v>Mart</v>
      </c>
      <c r="D33" s="1" t="s">
        <v>11</v>
      </c>
      <c r="E33" s="1" t="s">
        <v>40</v>
      </c>
      <c r="F33" s="11">
        <v>49</v>
      </c>
    </row>
    <row r="34" spans="2:6" ht="15.75" customHeight="1" x14ac:dyDescent="0.2">
      <c r="B34" s="19">
        <v>46095</v>
      </c>
      <c r="C34" s="1" t="str">
        <f t="shared" si="1"/>
        <v>Mart</v>
      </c>
      <c r="D34" s="1" t="s">
        <v>12</v>
      </c>
      <c r="E34" s="1" t="s">
        <v>29</v>
      </c>
      <c r="F34" s="11">
        <v>199</v>
      </c>
    </row>
    <row r="35" spans="2:6" ht="15.75" customHeight="1" x14ac:dyDescent="0.2">
      <c r="B35" s="19">
        <v>46109</v>
      </c>
      <c r="C35" s="1" t="str">
        <f t="shared" si="1"/>
        <v>Mart</v>
      </c>
      <c r="D35" s="1" t="s">
        <v>3</v>
      </c>
      <c r="E35" s="1" t="s">
        <v>30</v>
      </c>
      <c r="F35" s="11">
        <v>598</v>
      </c>
    </row>
    <row r="36" spans="2:6" ht="15.75" customHeight="1" x14ac:dyDescent="0.2">
      <c r="B36" s="19">
        <v>46109</v>
      </c>
      <c r="C36" s="1" t="str">
        <f t="shared" si="1"/>
        <v>Mart</v>
      </c>
      <c r="D36" s="1" t="s">
        <v>2</v>
      </c>
      <c r="E36" s="1" t="s">
        <v>31</v>
      </c>
      <c r="F36" s="11">
        <v>3000</v>
      </c>
    </row>
    <row r="37" spans="2:6" ht="15.75" customHeight="1" x14ac:dyDescent="0.2">
      <c r="B37" s="19">
        <v>46109</v>
      </c>
      <c r="C37" s="1" t="str">
        <f t="shared" si="1"/>
        <v>Mart</v>
      </c>
      <c r="D37" s="1" t="s">
        <v>4</v>
      </c>
      <c r="E37" s="1" t="s">
        <v>32</v>
      </c>
      <c r="F37" s="11">
        <v>59</v>
      </c>
    </row>
    <row r="38" spans="2:6" ht="15.75" customHeight="1" x14ac:dyDescent="0.2">
      <c r="B38" s="19">
        <v>46113</v>
      </c>
      <c r="C38" s="1" t="str">
        <f t="shared" si="1"/>
        <v>Nisan</v>
      </c>
      <c r="D38" s="1" t="s">
        <v>7</v>
      </c>
      <c r="E38" s="1" t="s">
        <v>22</v>
      </c>
      <c r="F38" s="11">
        <v>1120</v>
      </c>
    </row>
    <row r="39" spans="2:6" ht="15.75" customHeight="1" x14ac:dyDescent="0.2">
      <c r="B39" s="19">
        <v>46113</v>
      </c>
      <c r="C39" s="1" t="str">
        <f t="shared" si="1"/>
        <v>Nisan</v>
      </c>
      <c r="D39" s="1" t="s">
        <v>8</v>
      </c>
      <c r="E39" s="1" t="s">
        <v>23</v>
      </c>
      <c r="F39" s="11">
        <v>140</v>
      </c>
    </row>
    <row r="40" spans="2:6" ht="15.75" customHeight="1" x14ac:dyDescent="0.2">
      <c r="B40" s="19">
        <v>46113</v>
      </c>
      <c r="C40" s="1" t="str">
        <f t="shared" si="1"/>
        <v>Nisan</v>
      </c>
      <c r="D40" s="1" t="s">
        <v>9</v>
      </c>
      <c r="E40" s="1" t="s">
        <v>24</v>
      </c>
      <c r="F40" s="11">
        <v>55</v>
      </c>
    </row>
    <row r="41" spans="2:6" ht="15.75" customHeight="1" x14ac:dyDescent="0.2">
      <c r="B41" s="19">
        <v>46120</v>
      </c>
      <c r="C41" s="1" t="str">
        <f t="shared" si="1"/>
        <v>Nisan</v>
      </c>
      <c r="D41" s="1" t="s">
        <v>10</v>
      </c>
      <c r="E41" s="1" t="s">
        <v>25</v>
      </c>
      <c r="F41" s="11">
        <v>449</v>
      </c>
    </row>
    <row r="42" spans="2:6" ht="15.75" customHeight="1" x14ac:dyDescent="0.2">
      <c r="B42" s="19">
        <v>46123</v>
      </c>
      <c r="C42" s="1" t="str">
        <f t="shared" si="1"/>
        <v>Nisan</v>
      </c>
      <c r="D42" s="1" t="s">
        <v>11</v>
      </c>
      <c r="E42" s="1" t="s">
        <v>41</v>
      </c>
      <c r="F42" s="11">
        <v>245</v>
      </c>
    </row>
    <row r="43" spans="2:6" ht="15.75" customHeight="1" x14ac:dyDescent="0.2">
      <c r="B43" s="19">
        <v>46124</v>
      </c>
      <c r="C43" s="1" t="str">
        <f t="shared" si="1"/>
        <v>Nisan</v>
      </c>
      <c r="D43" s="1" t="s">
        <v>11</v>
      </c>
      <c r="E43" s="1" t="s">
        <v>27</v>
      </c>
      <c r="F43" s="11">
        <v>168</v>
      </c>
    </row>
    <row r="44" spans="2:6" ht="15.75" customHeight="1" x14ac:dyDescent="0.2">
      <c r="B44" s="19">
        <v>46124</v>
      </c>
      <c r="C44" s="1" t="str">
        <f t="shared" si="1"/>
        <v>Nisan</v>
      </c>
      <c r="D44" s="1" t="s">
        <v>11</v>
      </c>
      <c r="E44" s="1" t="s">
        <v>42</v>
      </c>
      <c r="F44" s="11">
        <v>49</v>
      </c>
    </row>
    <row r="45" spans="2:6" ht="15.75" customHeight="1" x14ac:dyDescent="0.2">
      <c r="B45" s="19">
        <v>46126</v>
      </c>
      <c r="C45" s="1" t="str">
        <f t="shared" si="1"/>
        <v>Nisan</v>
      </c>
      <c r="D45" s="1" t="s">
        <v>12</v>
      </c>
      <c r="E45" s="1" t="s">
        <v>29</v>
      </c>
      <c r="F45" s="11">
        <v>249</v>
      </c>
    </row>
    <row r="46" spans="2:6" ht="15.75" customHeight="1" x14ac:dyDescent="0.2">
      <c r="B46" s="19">
        <v>46140</v>
      </c>
      <c r="C46" s="1" t="str">
        <f t="shared" si="1"/>
        <v>Nisan</v>
      </c>
      <c r="D46" s="1" t="s">
        <v>3</v>
      </c>
      <c r="E46" s="1" t="s">
        <v>30</v>
      </c>
      <c r="F46" s="11">
        <v>669</v>
      </c>
    </row>
    <row r="47" spans="2:6" ht="15.75" customHeight="1" x14ac:dyDescent="0.2">
      <c r="B47" s="19">
        <v>46140</v>
      </c>
      <c r="C47" s="1" t="str">
        <f t="shared" si="1"/>
        <v>Nisan</v>
      </c>
      <c r="D47" s="1" t="s">
        <v>2</v>
      </c>
      <c r="E47" s="1" t="s">
        <v>31</v>
      </c>
      <c r="F47" s="11">
        <v>3000</v>
      </c>
    </row>
    <row r="48" spans="2:6" ht="15.75" customHeight="1" x14ac:dyDescent="0.2">
      <c r="B48" s="19">
        <v>46140</v>
      </c>
      <c r="C48" s="1" t="str">
        <f t="shared" si="1"/>
        <v>Nisan</v>
      </c>
      <c r="D48" s="1" t="s">
        <v>4</v>
      </c>
      <c r="E48" s="1" t="s">
        <v>32</v>
      </c>
      <c r="F48" s="11">
        <v>258</v>
      </c>
    </row>
    <row r="49" spans="2:6" ht="15.75" customHeight="1" x14ac:dyDescent="0.2">
      <c r="B49" s="19">
        <v>46143</v>
      </c>
      <c r="C49" s="1" t="str">
        <f t="shared" si="1"/>
        <v>Mayıs</v>
      </c>
      <c r="D49" s="1" t="s">
        <v>7</v>
      </c>
      <c r="E49" s="1" t="s">
        <v>22</v>
      </c>
      <c r="F49" s="11">
        <v>1120</v>
      </c>
    </row>
    <row r="50" spans="2:6" ht="15.75" customHeight="1" x14ac:dyDescent="0.2">
      <c r="B50" s="19">
        <v>46143</v>
      </c>
      <c r="C50" s="1" t="str">
        <f t="shared" si="1"/>
        <v>Mayıs</v>
      </c>
      <c r="D50" s="1" t="s">
        <v>8</v>
      </c>
      <c r="E50" s="1" t="s">
        <v>23</v>
      </c>
      <c r="F50" s="11">
        <v>155</v>
      </c>
    </row>
    <row r="51" spans="2:6" ht="15.75" customHeight="1" x14ac:dyDescent="0.2">
      <c r="B51" s="19">
        <v>46143</v>
      </c>
      <c r="C51" s="1" t="str">
        <f t="shared" si="1"/>
        <v>Mayıs</v>
      </c>
      <c r="D51" s="1" t="s">
        <v>9</v>
      </c>
      <c r="E51" s="1" t="s">
        <v>24</v>
      </c>
      <c r="F51" s="11">
        <v>55</v>
      </c>
    </row>
    <row r="52" spans="2:6" ht="15.75" customHeight="1" x14ac:dyDescent="0.2">
      <c r="B52" s="19">
        <v>46150</v>
      </c>
      <c r="C52" s="1" t="str">
        <f t="shared" si="1"/>
        <v>Mayıs</v>
      </c>
      <c r="D52" s="1" t="s">
        <v>10</v>
      </c>
      <c r="E52" s="1" t="s">
        <v>25</v>
      </c>
      <c r="F52" s="11">
        <v>449</v>
      </c>
    </row>
    <row r="53" spans="2:6" ht="15.75" customHeight="1" x14ac:dyDescent="0.2">
      <c r="B53" s="19">
        <v>46153</v>
      </c>
      <c r="C53" s="1" t="str">
        <f t="shared" si="1"/>
        <v>Mayıs</v>
      </c>
      <c r="D53" s="1" t="s">
        <v>11</v>
      </c>
      <c r="E53" s="1" t="s">
        <v>26</v>
      </c>
      <c r="F53" s="11">
        <v>245</v>
      </c>
    </row>
    <row r="54" spans="2:6" ht="15.75" customHeight="1" x14ac:dyDescent="0.2">
      <c r="B54" s="19">
        <v>46154</v>
      </c>
      <c r="C54" s="1" t="str">
        <f t="shared" si="1"/>
        <v>Mayıs</v>
      </c>
      <c r="D54" s="1" t="s">
        <v>11</v>
      </c>
      <c r="E54" s="1" t="s">
        <v>27</v>
      </c>
      <c r="F54" s="11">
        <v>168</v>
      </c>
    </row>
    <row r="55" spans="2:6" ht="15.75" customHeight="1" x14ac:dyDescent="0.2">
      <c r="B55" s="19">
        <v>46154</v>
      </c>
      <c r="C55" s="1" t="str">
        <f t="shared" si="1"/>
        <v>Mayıs</v>
      </c>
      <c r="D55" s="1" t="s">
        <v>11</v>
      </c>
      <c r="E55" s="1" t="s">
        <v>43</v>
      </c>
      <c r="F55" s="11">
        <v>233</v>
      </c>
    </row>
    <row r="56" spans="2:6" ht="15.75" customHeight="1" x14ac:dyDescent="0.2">
      <c r="B56" s="19">
        <v>46156</v>
      </c>
      <c r="C56" s="1" t="str">
        <f t="shared" si="1"/>
        <v>Mayıs</v>
      </c>
      <c r="D56" s="1" t="s">
        <v>12</v>
      </c>
      <c r="E56" s="1" t="s">
        <v>29</v>
      </c>
      <c r="F56" s="11">
        <v>249</v>
      </c>
    </row>
    <row r="57" spans="2:6" ht="15.75" customHeight="1" x14ac:dyDescent="0.2">
      <c r="B57" s="19">
        <v>46170</v>
      </c>
      <c r="C57" s="1" t="str">
        <f t="shared" si="1"/>
        <v>Mayıs</v>
      </c>
      <c r="D57" s="1" t="s">
        <v>3</v>
      </c>
      <c r="E57" s="1" t="s">
        <v>30</v>
      </c>
      <c r="F57" s="11">
        <v>708</v>
      </c>
    </row>
    <row r="58" spans="2:6" ht="15.75" customHeight="1" x14ac:dyDescent="0.2">
      <c r="B58" s="19">
        <v>46170</v>
      </c>
      <c r="C58" s="1" t="str">
        <f t="shared" si="1"/>
        <v>Mayıs</v>
      </c>
      <c r="D58" s="1" t="s">
        <v>2</v>
      </c>
      <c r="E58" s="1" t="s">
        <v>31</v>
      </c>
      <c r="F58" s="11">
        <v>3000</v>
      </c>
    </row>
    <row r="59" spans="2:6" ht="15.75" customHeight="1" x14ac:dyDescent="0.2">
      <c r="B59" s="19">
        <v>46170</v>
      </c>
      <c r="C59" s="1" t="str">
        <f t="shared" si="1"/>
        <v>Mayıs</v>
      </c>
      <c r="D59" s="1" t="s">
        <v>4</v>
      </c>
      <c r="E59" s="1" t="s">
        <v>32</v>
      </c>
      <c r="F59" s="11">
        <v>366</v>
      </c>
    </row>
    <row r="60" spans="2:6" ht="15.75" customHeight="1" x14ac:dyDescent="0.2">
      <c r="B60" s="19"/>
      <c r="D60" s="1"/>
      <c r="F60" s="11"/>
    </row>
    <row r="61" spans="2:6" ht="15.75" customHeight="1" x14ac:dyDescent="0.2">
      <c r="B61" s="19"/>
      <c r="D61" s="1"/>
      <c r="F61" s="11"/>
    </row>
    <row r="62" spans="2:6" ht="15.75" customHeight="1" x14ac:dyDescent="0.2">
      <c r="B62" s="19"/>
      <c r="D62" s="1"/>
      <c r="F62" s="11"/>
    </row>
    <row r="63" spans="2:6" ht="15.75" customHeight="1" x14ac:dyDescent="0.2">
      <c r="B63" s="19"/>
      <c r="D63" s="1"/>
      <c r="F63" s="11"/>
    </row>
    <row r="64" spans="2:6" ht="15.75" customHeight="1" x14ac:dyDescent="0.2">
      <c r="B64" s="19"/>
      <c r="D64" s="1"/>
      <c r="F64" s="11"/>
    </row>
    <row r="65" spans="2:6" ht="15.75" customHeight="1" x14ac:dyDescent="0.2">
      <c r="B65" s="19"/>
      <c r="D65" s="1"/>
      <c r="F65" s="11"/>
    </row>
    <row r="66" spans="2:6" ht="15.75" customHeight="1" x14ac:dyDescent="0.2">
      <c r="B66" s="19"/>
      <c r="F66" s="11"/>
    </row>
    <row r="67" spans="2:6" ht="15.75" customHeight="1" x14ac:dyDescent="0.2">
      <c r="B67" s="19"/>
      <c r="F67" s="11"/>
    </row>
    <row r="68" spans="2:6" ht="15.75" customHeight="1" x14ac:dyDescent="0.2">
      <c r="B68" s="19"/>
      <c r="F68" s="11"/>
    </row>
    <row r="69" spans="2:6" ht="15.75" customHeight="1" x14ac:dyDescent="0.2">
      <c r="B69" s="19"/>
      <c r="F69" s="11"/>
    </row>
    <row r="70" spans="2:6" ht="15.75" customHeight="1" x14ac:dyDescent="0.2">
      <c r="B70" s="19"/>
      <c r="F70" s="11"/>
    </row>
    <row r="71" spans="2:6" ht="15.75" customHeight="1" x14ac:dyDescent="0.2">
      <c r="B71" s="19"/>
      <c r="F71" s="11"/>
    </row>
    <row r="72" spans="2:6" ht="15.75" customHeight="1" x14ac:dyDescent="0.2">
      <c r="B72" s="19"/>
      <c r="F72" s="11"/>
    </row>
    <row r="73" spans="2:6" ht="15.75" customHeight="1" x14ac:dyDescent="0.2">
      <c r="B73" s="19"/>
      <c r="F73" s="11"/>
    </row>
    <row r="74" spans="2:6" ht="15.75" customHeight="1" x14ac:dyDescent="0.2"/>
    <row r="75" spans="2:6" ht="15.75" customHeight="1" x14ac:dyDescent="0.2"/>
    <row r="76" spans="2:6" ht="15.75" customHeight="1" x14ac:dyDescent="0.2"/>
    <row r="77" spans="2:6" ht="15.75" customHeight="1" x14ac:dyDescent="0.2"/>
    <row r="78" spans="2:6" ht="15.75" customHeight="1" x14ac:dyDescent="0.2"/>
    <row r="79" spans="2:6" ht="15.75" customHeight="1" x14ac:dyDescent="0.2"/>
    <row r="80" spans="2:6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dataValidations count="1">
    <dataValidation type="list" allowBlank="1" showErrorMessage="1" sqref="D5:D65" xr:uid="{00000000-0002-0000-0300-000000000000}">
      <formula1>$H$5:$H$13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Dashboard</vt:lpstr>
      <vt:lpstr>Budget</vt:lpstr>
      <vt:lpstr>Actual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Burcu SEVİNÇ</cp:lastModifiedBy>
  <dcterms:created xsi:type="dcterms:W3CDTF">2022-04-11T09:11:40Z</dcterms:created>
  <dcterms:modified xsi:type="dcterms:W3CDTF">2026-06-30T13:33:41Z</dcterms:modified>
</cp:coreProperties>
</file>